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ra\Desktop\Аналитика данных\Центр карьеры\Проекты\3. Анализ результатов АВ-теста\"/>
    </mc:Choice>
  </mc:AlternateContent>
  <xr:revisionPtr revIDLastSave="0" documentId="13_ncr:1_{08A277AC-280C-4819-A971-D0F5141F785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Итог" sheetId="4" r:id="rId1"/>
    <sheet name="Positive outcome" sheetId="1" r:id="rId2"/>
    <sheet name="Negative outcome" sheetId="2" r:id="rId3"/>
    <sheet name="Neutral outcom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3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4" i="2"/>
  <c r="P3" i="2"/>
  <c r="P2" i="2"/>
  <c r="B6" i="4" s="1"/>
  <c r="P3" i="1"/>
  <c r="B5" i="4" s="1"/>
  <c r="B7" i="4" s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2" i="1"/>
  <c r="P19" i="1" l="1"/>
  <c r="B8" i="4"/>
  <c r="P35" i="3"/>
  <c r="P5" i="2"/>
</calcChain>
</file>

<file path=xl/sharedStrings.xml><?xml version="1.0" encoding="utf-8"?>
<sst xmlns="http://schemas.openxmlformats.org/spreadsheetml/2006/main" count="159" uniqueCount="45">
  <si>
    <t>city</t>
  </si>
  <si>
    <t>id_trading_point</t>
  </si>
  <si>
    <t>count_test</t>
  </si>
  <si>
    <t>count_control</t>
  </si>
  <si>
    <t>count_all</t>
  </si>
  <si>
    <t>percent_count</t>
  </si>
  <si>
    <t>avg_payment_test</t>
  </si>
  <si>
    <t>avg_payment_control</t>
  </si>
  <si>
    <t>diff</t>
  </si>
  <si>
    <t>sigma_test</t>
  </si>
  <si>
    <t>sigma_control</t>
  </si>
  <si>
    <t>ttest</t>
  </si>
  <si>
    <t>pvalue_ttest</t>
  </si>
  <si>
    <t>label</t>
  </si>
  <si>
    <t>Казань</t>
  </si>
  <si>
    <t>Санкт-Петербург</t>
  </si>
  <si>
    <t>Москва</t>
  </si>
  <si>
    <t>Владимир</t>
  </si>
  <si>
    <t>Самара</t>
  </si>
  <si>
    <t>Positive outcome</t>
  </si>
  <si>
    <t>Волгоград</t>
  </si>
  <si>
    <t>Краснодар</t>
  </si>
  <si>
    <t>Negative outcome</t>
  </si>
  <si>
    <t>Красноярск</t>
  </si>
  <si>
    <t>Нижний Новгород</t>
  </si>
  <si>
    <t>Мурманск</t>
  </si>
  <si>
    <t>Саратов</t>
  </si>
  <si>
    <t>Тольятти</t>
  </si>
  <si>
    <t>Тюмень</t>
  </si>
  <si>
    <t>Сочи</t>
  </si>
  <si>
    <t>Сахалинск</t>
  </si>
  <si>
    <t>Великий Новгород</t>
  </si>
  <si>
    <t>Дмитров</t>
  </si>
  <si>
    <t>Neutral outcome</t>
  </si>
  <si>
    <t>Вводные данные</t>
  </si>
  <si>
    <t>Количество покупателей</t>
  </si>
  <si>
    <t>MDE</t>
  </si>
  <si>
    <t>Расчетные данные</t>
  </si>
  <si>
    <t>Прибыль</t>
  </si>
  <si>
    <t>Потери</t>
  </si>
  <si>
    <t>Баланс</t>
  </si>
  <si>
    <t>Количество наблюдений</t>
  </si>
  <si>
    <t>revenue growth</t>
  </si>
  <si>
    <t>revenue drop</t>
  </si>
  <si>
    <t>cnt_observ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</si>
</sst>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_-* #,##0.00\ [$₽-419]_-;\-* #,##0.00\ [$₽-419]_-;_-* &quot;-&quot;??\ [$₽-419]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0" fillId="3" borderId="1" xfId="0" applyNumberFormat="1" applyFill="1" applyBorder="1"/>
    <xf numFmtId="4" fontId="0" fillId="0" borderId="0" xfId="0" applyNumberFormat="1"/>
    <xf numFmtId="3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9729-7CE3-44B3-8F2D-AB1E43FEF21E}">
  <dimension ref="A1:B8"/>
  <sheetViews>
    <sheetView tabSelected="1" workbookViewId="0">
      <selection activeCell="B3" sqref="B3"/>
    </sheetView>
  </sheetViews>
  <sheetFormatPr defaultRowHeight="14.4" x14ac:dyDescent="0.3"/>
  <cols>
    <col min="1" max="1" width="22.5546875" bestFit="1" customWidth="1"/>
    <col min="2" max="2" width="14.21875" bestFit="1" customWidth="1"/>
  </cols>
  <sheetData>
    <row r="1" spans="1:2" x14ac:dyDescent="0.3">
      <c r="A1" s="16" t="s">
        <v>34</v>
      </c>
      <c r="B1" s="16"/>
    </row>
    <row r="2" spans="1:2" x14ac:dyDescent="0.3">
      <c r="A2" s="2" t="s">
        <v>35</v>
      </c>
      <c r="B2" s="6">
        <v>20000</v>
      </c>
    </row>
    <row r="3" spans="1:2" x14ac:dyDescent="0.3">
      <c r="A3" s="2" t="s">
        <v>36</v>
      </c>
      <c r="B3" s="7">
        <v>500</v>
      </c>
    </row>
    <row r="4" spans="1:2" x14ac:dyDescent="0.3">
      <c r="A4" s="16" t="s">
        <v>37</v>
      </c>
      <c r="B4" s="16"/>
    </row>
    <row r="5" spans="1:2" x14ac:dyDescent="0.3">
      <c r="A5" s="2" t="s">
        <v>38</v>
      </c>
      <c r="B5" s="8">
        <f>SUM('Positive outcome'!P2:P18)</f>
        <v>5255440.1015057918</v>
      </c>
    </row>
    <row r="6" spans="1:2" x14ac:dyDescent="0.3">
      <c r="A6" s="2" t="s">
        <v>39</v>
      </c>
      <c r="B6" s="8">
        <f>SUM('Negative outcome'!P2:P4)</f>
        <v>-506430.33339956886</v>
      </c>
    </row>
    <row r="7" spans="1:2" x14ac:dyDescent="0.3">
      <c r="A7" s="2" t="s">
        <v>40</v>
      </c>
      <c r="B7" s="8">
        <f>B5+B6</f>
        <v>4749009.7681062231</v>
      </c>
    </row>
    <row r="8" spans="1:2" x14ac:dyDescent="0.3">
      <c r="A8" s="2" t="s">
        <v>41</v>
      </c>
      <c r="B8" s="9">
        <f>SUM('Neutral outcome'!P2:P34)</f>
        <v>15942.366006465722</v>
      </c>
    </row>
  </sheetData>
  <mergeCells count="2">
    <mergeCell ref="A1:B1"/>
    <mergeCell ref="A4:B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workbookViewId="0">
      <selection activeCell="D6" sqref="D6"/>
    </sheetView>
  </sheetViews>
  <sheetFormatPr defaultRowHeight="14.4" x14ac:dyDescent="0.3"/>
  <cols>
    <col min="1" max="1" width="5.44140625" customWidth="1"/>
    <col min="2" max="2" width="15.33203125" bestFit="1" customWidth="1"/>
    <col min="3" max="3" width="15.109375" bestFit="1" customWidth="1"/>
    <col min="4" max="4" width="10" bestFit="1" customWidth="1"/>
    <col min="5" max="5" width="12.88671875" bestFit="1" customWidth="1"/>
    <col min="6" max="6" width="8.77734375" bestFit="1" customWidth="1"/>
    <col min="7" max="7" width="13.44140625" bestFit="1" customWidth="1"/>
    <col min="8" max="8" width="16.77734375" bestFit="1" customWidth="1"/>
    <col min="9" max="9" width="19.77734375" bestFit="1" customWidth="1"/>
    <col min="10" max="10" width="9.6640625" customWidth="1"/>
    <col min="11" max="11" width="10" bestFit="1" customWidth="1"/>
    <col min="12" max="12" width="12.88671875" bestFit="1" customWidth="1"/>
    <col min="13" max="13" width="7.44140625" customWidth="1"/>
    <col min="14" max="14" width="11.44140625" bestFit="1" customWidth="1"/>
    <col min="15" max="15" width="17.21875" customWidth="1"/>
    <col min="16" max="16" width="15.5546875" customWidth="1"/>
  </cols>
  <sheetData>
    <row r="1" spans="1:16" x14ac:dyDescent="0.3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0" t="s">
        <v>42</v>
      </c>
    </row>
    <row r="2" spans="1:16" x14ac:dyDescent="0.3">
      <c r="A2" s="1">
        <v>8</v>
      </c>
      <c r="B2" s="2" t="s">
        <v>14</v>
      </c>
      <c r="C2" s="3">
        <v>991</v>
      </c>
      <c r="D2" s="12">
        <v>270</v>
      </c>
      <c r="E2" s="12">
        <v>294</v>
      </c>
      <c r="F2" s="12">
        <v>564</v>
      </c>
      <c r="G2" s="4">
        <v>1.230339652276347</v>
      </c>
      <c r="H2" s="11">
        <v>3249.281481481481</v>
      </c>
      <c r="I2" s="11">
        <v>2452.9863945578231</v>
      </c>
      <c r="J2" s="11">
        <v>796.29508692365835</v>
      </c>
      <c r="K2" s="11">
        <v>4719.592601269801</v>
      </c>
      <c r="L2" s="11">
        <v>3633.9358583139378</v>
      </c>
      <c r="M2" s="4">
        <v>-2.2552583978062271</v>
      </c>
      <c r="N2" s="5">
        <v>2.4501004890271769E-2</v>
      </c>
      <c r="O2" s="3" t="s">
        <v>19</v>
      </c>
      <c r="P2" s="13">
        <f>J2*G2/100*Итог!$B$2</f>
        <v>195942.68407100349</v>
      </c>
    </row>
    <row r="3" spans="1:16" x14ac:dyDescent="0.3">
      <c r="A3" s="1">
        <v>14</v>
      </c>
      <c r="B3" s="2" t="s">
        <v>15</v>
      </c>
      <c r="C3" s="3">
        <v>453</v>
      </c>
      <c r="D3" s="12">
        <v>1066</v>
      </c>
      <c r="E3" s="12">
        <v>1049</v>
      </c>
      <c r="F3" s="12">
        <v>2115</v>
      </c>
      <c r="G3" s="4">
        <v>4.6137736960362998</v>
      </c>
      <c r="H3" s="11">
        <v>2501.9662288930581</v>
      </c>
      <c r="I3" s="11">
        <v>1889.9237368922779</v>
      </c>
      <c r="J3" s="11">
        <v>612.0424920007797</v>
      </c>
      <c r="K3" s="11">
        <v>2993.4425401386889</v>
      </c>
      <c r="L3" s="11">
        <v>2648.659303282589</v>
      </c>
      <c r="M3" s="4">
        <v>-4.976910182958596</v>
      </c>
      <c r="N3" s="5">
        <v>6.9832069012744641E-7</v>
      </c>
      <c r="O3" s="3" t="s">
        <v>19</v>
      </c>
      <c r="P3" s="13">
        <f>J3*G3/100*Итог!$B$2</f>
        <v>564765.11008994095</v>
      </c>
    </row>
    <row r="4" spans="1:16" x14ac:dyDescent="0.3">
      <c r="A4" s="1">
        <v>17</v>
      </c>
      <c r="B4" s="2" t="s">
        <v>15</v>
      </c>
      <c r="C4" s="3">
        <v>801</v>
      </c>
      <c r="D4" s="12">
        <v>225</v>
      </c>
      <c r="E4" s="12">
        <v>212</v>
      </c>
      <c r="F4" s="12">
        <v>437</v>
      </c>
      <c r="G4" s="4">
        <v>0.95329508518575079</v>
      </c>
      <c r="H4" s="11">
        <v>2925.1422222222218</v>
      </c>
      <c r="I4" s="11">
        <v>2352.283018867925</v>
      </c>
      <c r="J4" s="11">
        <v>572.85920335429773</v>
      </c>
      <c r="K4" s="11">
        <v>2774.2920633734338</v>
      </c>
      <c r="L4" s="11">
        <v>2928.285837816507</v>
      </c>
      <c r="M4" s="4">
        <v>-2.0999906224732121</v>
      </c>
      <c r="N4" s="5">
        <v>3.6305006065519063E-2</v>
      </c>
      <c r="O4" s="3" t="s">
        <v>19</v>
      </c>
      <c r="P4" s="13">
        <f>J4*G4/100*Итог!$B$2</f>
        <v>109220.77261221531</v>
      </c>
    </row>
    <row r="5" spans="1:16" x14ac:dyDescent="0.3">
      <c r="A5" s="1">
        <v>18</v>
      </c>
      <c r="B5" s="2" t="s">
        <v>15</v>
      </c>
      <c r="C5" s="3">
        <v>573</v>
      </c>
      <c r="D5" s="12">
        <v>177</v>
      </c>
      <c r="E5" s="12">
        <v>160</v>
      </c>
      <c r="F5" s="12">
        <v>337</v>
      </c>
      <c r="G5" s="4">
        <v>0.7351497567679588</v>
      </c>
      <c r="H5" s="11">
        <v>2929.0451977401131</v>
      </c>
      <c r="I5" s="11">
        <v>1641.2125000000001</v>
      </c>
      <c r="J5" s="11">
        <v>1287.832697740113</v>
      </c>
      <c r="K5" s="11">
        <v>3201.0981368955968</v>
      </c>
      <c r="L5" s="11">
        <v>2619.0447809502311</v>
      </c>
      <c r="M5" s="4">
        <v>-4.0165685114334524</v>
      </c>
      <c r="N5" s="5">
        <v>7.2940741192307104E-5</v>
      </c>
      <c r="O5" s="3" t="s">
        <v>19</v>
      </c>
      <c r="P5" s="13">
        <f>J5*G5/100*Итог!$B$2</f>
        <v>189349.97890029364</v>
      </c>
    </row>
    <row r="6" spans="1:16" x14ac:dyDescent="0.3">
      <c r="A6" s="1">
        <v>21</v>
      </c>
      <c r="B6" s="2" t="s">
        <v>15</v>
      </c>
      <c r="C6" s="3">
        <v>900</v>
      </c>
      <c r="D6" s="12">
        <v>335</v>
      </c>
      <c r="E6" s="12">
        <v>341</v>
      </c>
      <c r="F6" s="12">
        <v>676</v>
      </c>
      <c r="G6" s="4">
        <v>1.474662420104274</v>
      </c>
      <c r="H6" s="11">
        <v>2450.991044776119</v>
      </c>
      <c r="I6" s="11">
        <v>1689.7917888563049</v>
      </c>
      <c r="J6" s="11">
        <v>761.1992559198145</v>
      </c>
      <c r="K6" s="11">
        <v>2865.6073558468588</v>
      </c>
      <c r="L6" s="11">
        <v>2492.4726113410579</v>
      </c>
      <c r="M6" s="4">
        <v>-3.686913572889702</v>
      </c>
      <c r="N6" s="5">
        <v>2.4525342392273569E-4</v>
      </c>
      <c r="O6" s="3" t="s">
        <v>19</v>
      </c>
      <c r="P6" s="13">
        <f>J6*G6/100*Итог!$B$2</f>
        <v>224502.38738325724</v>
      </c>
    </row>
    <row r="7" spans="1:16" x14ac:dyDescent="0.3">
      <c r="A7" s="1">
        <v>22</v>
      </c>
      <c r="B7" s="2" t="s">
        <v>15</v>
      </c>
      <c r="C7" s="3">
        <v>117</v>
      </c>
      <c r="D7" s="12">
        <v>625</v>
      </c>
      <c r="E7" s="12">
        <v>587</v>
      </c>
      <c r="F7" s="12">
        <v>1212</v>
      </c>
      <c r="G7" s="4">
        <v>2.6439213804236381</v>
      </c>
      <c r="H7" s="11">
        <v>2582.2975999999999</v>
      </c>
      <c r="I7" s="11">
        <v>2050.6916524701869</v>
      </c>
      <c r="J7" s="11">
        <v>531.60594752981251</v>
      </c>
      <c r="K7" s="11">
        <v>2835.004503186402</v>
      </c>
      <c r="L7" s="11">
        <v>2595.7377919626319</v>
      </c>
      <c r="M7" s="4">
        <v>-3.3981956005701761</v>
      </c>
      <c r="N7" s="5">
        <v>7.0038166313428352E-4</v>
      </c>
      <c r="O7" s="3" t="s">
        <v>19</v>
      </c>
      <c r="P7" s="13">
        <f>J7*G7/100*Итог!$B$2</f>
        <v>281104.86612688762</v>
      </c>
    </row>
    <row r="8" spans="1:16" x14ac:dyDescent="0.3">
      <c r="A8" s="1">
        <v>23</v>
      </c>
      <c r="B8" s="2" t="s">
        <v>15</v>
      </c>
      <c r="C8" s="3">
        <v>213</v>
      </c>
      <c r="D8" s="12">
        <v>232</v>
      </c>
      <c r="E8" s="12">
        <v>255</v>
      </c>
      <c r="F8" s="12">
        <v>487</v>
      </c>
      <c r="G8" s="4">
        <v>1.0623677493946471</v>
      </c>
      <c r="H8" s="11">
        <v>2977.629310344827</v>
      </c>
      <c r="I8" s="11">
        <v>2277.6117647058818</v>
      </c>
      <c r="J8" s="11">
        <v>700.01754563894519</v>
      </c>
      <c r="K8" s="11">
        <v>2905.4943623590038</v>
      </c>
      <c r="L8" s="11">
        <v>2710.0434132013179</v>
      </c>
      <c r="M8" s="4">
        <v>-2.7507518943584151</v>
      </c>
      <c r="N8" s="5">
        <v>6.1682152950104643E-3</v>
      </c>
      <c r="O8" s="3" t="s">
        <v>19</v>
      </c>
      <c r="P8" s="13">
        <f>J8*G8/100*Итог!$B$2</f>
        <v>148735.21289944215</v>
      </c>
    </row>
    <row r="9" spans="1:16" x14ac:dyDescent="0.3">
      <c r="A9" s="1">
        <v>24</v>
      </c>
      <c r="B9" s="2" t="s">
        <v>15</v>
      </c>
      <c r="C9" s="3">
        <v>891</v>
      </c>
      <c r="D9" s="12">
        <v>159</v>
      </c>
      <c r="E9" s="12">
        <v>167</v>
      </c>
      <c r="F9" s="12">
        <v>326</v>
      </c>
      <c r="G9" s="4">
        <v>0.71115377064200169</v>
      </c>
      <c r="H9" s="11">
        <v>2618.949685534591</v>
      </c>
      <c r="I9" s="11">
        <v>1980.65868263473</v>
      </c>
      <c r="J9" s="11">
        <v>638.29100289986059</v>
      </c>
      <c r="K9" s="11">
        <v>2899.7824641211591</v>
      </c>
      <c r="L9" s="11">
        <v>2489.5719421398171</v>
      </c>
      <c r="M9" s="4">
        <v>-2.135593480676524</v>
      </c>
      <c r="N9" s="5">
        <v>3.3462036844691949E-2</v>
      </c>
      <c r="O9" s="3" t="s">
        <v>19</v>
      </c>
      <c r="P9" s="13">
        <f>J9*G9/100*Итог!$B$2</f>
        <v>90784.610695820142</v>
      </c>
    </row>
    <row r="10" spans="1:16" x14ac:dyDescent="0.3">
      <c r="A10" s="1">
        <v>25</v>
      </c>
      <c r="B10" s="2" t="s">
        <v>16</v>
      </c>
      <c r="C10" s="3">
        <v>2652</v>
      </c>
      <c r="D10" s="12">
        <v>2273</v>
      </c>
      <c r="E10" s="12">
        <v>2370</v>
      </c>
      <c r="F10" s="12">
        <v>4643</v>
      </c>
      <c r="G10" s="4">
        <v>10.128487598438079</v>
      </c>
      <c r="H10" s="11">
        <v>2508.8895732512101</v>
      </c>
      <c r="I10" s="11">
        <v>1972.847679324894</v>
      </c>
      <c r="J10" s="11">
        <v>536.0418939263152</v>
      </c>
      <c r="K10" s="11">
        <v>2846.636498318253</v>
      </c>
      <c r="L10" s="11">
        <v>2565.8782422551972</v>
      </c>
      <c r="M10" s="4">
        <v>-6.7451370750144903</v>
      </c>
      <c r="N10" s="5">
        <v>1.716200952795291E-11</v>
      </c>
      <c r="O10" s="3" t="s">
        <v>19</v>
      </c>
      <c r="P10" s="13">
        <f>J10*G10/100*Итог!$B$2</f>
        <v>1085858.7349751887</v>
      </c>
    </row>
    <row r="11" spans="1:16" x14ac:dyDescent="0.3">
      <c r="A11" s="1">
        <v>27</v>
      </c>
      <c r="B11" s="2" t="s">
        <v>16</v>
      </c>
      <c r="C11" s="3">
        <v>1287</v>
      </c>
      <c r="D11" s="12">
        <v>370</v>
      </c>
      <c r="E11" s="12">
        <v>357</v>
      </c>
      <c r="F11" s="12">
        <v>727</v>
      </c>
      <c r="G11" s="4">
        <v>1.585916537597347</v>
      </c>
      <c r="H11" s="11">
        <v>2143.4891891891889</v>
      </c>
      <c r="I11" s="11">
        <v>1394.6554621848741</v>
      </c>
      <c r="J11" s="11">
        <v>748.83372700431551</v>
      </c>
      <c r="K11" s="11">
        <v>2441.2218976449781</v>
      </c>
      <c r="L11" s="11">
        <v>2338.461778714975</v>
      </c>
      <c r="M11" s="4">
        <v>-4.2210099215845469</v>
      </c>
      <c r="N11" s="5">
        <v>2.7411050206084379E-5</v>
      </c>
      <c r="O11" s="3" t="s">
        <v>19</v>
      </c>
      <c r="P11" s="13">
        <f>J11*G11/100*Итог!$B$2</f>
        <v>237517.55831336018</v>
      </c>
    </row>
    <row r="12" spans="1:16" x14ac:dyDescent="0.3">
      <c r="A12" s="1">
        <v>31</v>
      </c>
      <c r="B12" s="2" t="s">
        <v>16</v>
      </c>
      <c r="C12" s="3">
        <v>1654</v>
      </c>
      <c r="D12" s="12">
        <v>799</v>
      </c>
      <c r="E12" s="12">
        <v>775</v>
      </c>
      <c r="F12" s="12">
        <v>1574</v>
      </c>
      <c r="G12" s="4">
        <v>3.433607469296045</v>
      </c>
      <c r="H12" s="11">
        <v>3176.4330413016269</v>
      </c>
      <c r="I12" s="11">
        <v>2507.8864516129029</v>
      </c>
      <c r="J12" s="11">
        <v>668.54658968872354</v>
      </c>
      <c r="K12" s="11">
        <v>3208.0517628292901</v>
      </c>
      <c r="L12" s="11">
        <v>2950.5128884516939</v>
      </c>
      <c r="M12" s="4">
        <v>-4.2997977681534039</v>
      </c>
      <c r="N12" s="5">
        <v>1.8146600593509569E-5</v>
      </c>
      <c r="O12" s="3" t="s">
        <v>19</v>
      </c>
      <c r="P12" s="13">
        <f>J12*G12/100*Итог!$B$2</f>
        <v>459105.31278551987</v>
      </c>
    </row>
    <row r="13" spans="1:16" x14ac:dyDescent="0.3">
      <c r="A13" s="1">
        <v>35</v>
      </c>
      <c r="B13" s="2" t="s">
        <v>16</v>
      </c>
      <c r="C13" s="3">
        <v>1002</v>
      </c>
      <c r="D13" s="12">
        <v>138</v>
      </c>
      <c r="E13" s="12">
        <v>188</v>
      </c>
      <c r="F13" s="12">
        <v>326</v>
      </c>
      <c r="G13" s="4">
        <v>0.71115377064200169</v>
      </c>
      <c r="H13" s="11">
        <v>4144.855072463768</v>
      </c>
      <c r="I13" s="11">
        <v>1844.7872340425531</v>
      </c>
      <c r="J13" s="11">
        <v>2300.0678384212151</v>
      </c>
      <c r="K13" s="11">
        <v>4069.769784107084</v>
      </c>
      <c r="L13" s="11">
        <v>2436.5361201199112</v>
      </c>
      <c r="M13" s="4">
        <v>-6.3534483983808014</v>
      </c>
      <c r="N13" s="5">
        <v>7.1299585030233683E-10</v>
      </c>
      <c r="O13" s="3" t="s">
        <v>19</v>
      </c>
      <c r="P13" s="13">
        <f>J13*G13/100*Итог!$B$2</f>
        <v>327140.38320512912</v>
      </c>
    </row>
    <row r="14" spans="1:16" x14ac:dyDescent="0.3">
      <c r="A14" s="1">
        <v>43</v>
      </c>
      <c r="B14" s="2" t="s">
        <v>17</v>
      </c>
      <c r="C14" s="3">
        <v>11</v>
      </c>
      <c r="D14" s="12">
        <v>509</v>
      </c>
      <c r="E14" s="12">
        <v>608</v>
      </c>
      <c r="F14" s="12">
        <v>1117</v>
      </c>
      <c r="G14" s="4">
        <v>2.436683318426736</v>
      </c>
      <c r="H14" s="11">
        <v>2547.2200392927311</v>
      </c>
      <c r="I14" s="11">
        <v>2108.6101973684208</v>
      </c>
      <c r="J14" s="11">
        <v>438.60984192430942</v>
      </c>
      <c r="K14" s="11">
        <v>3023.7021636269092</v>
      </c>
      <c r="L14" s="11">
        <v>2663.0383919741248</v>
      </c>
      <c r="M14" s="4">
        <v>-2.576955493292318</v>
      </c>
      <c r="N14" s="5">
        <v>1.009511217035171E-2</v>
      </c>
      <c r="O14" s="3" t="s">
        <v>19</v>
      </c>
      <c r="P14" s="13">
        <f>J14*G14/100*Итог!$B$2</f>
        <v>213750.65702295047</v>
      </c>
    </row>
    <row r="15" spans="1:16" x14ac:dyDescent="0.3">
      <c r="A15" s="1">
        <v>44</v>
      </c>
      <c r="B15" s="2" t="s">
        <v>18</v>
      </c>
      <c r="C15" s="3">
        <v>33</v>
      </c>
      <c r="D15" s="12">
        <v>232</v>
      </c>
      <c r="E15" s="12">
        <v>258</v>
      </c>
      <c r="F15" s="12">
        <v>490</v>
      </c>
      <c r="G15" s="4">
        <v>1.0689121092471801</v>
      </c>
      <c r="H15" s="11">
        <v>4598.2198275862074</v>
      </c>
      <c r="I15" s="11">
        <v>2311.3875968992252</v>
      </c>
      <c r="J15" s="11">
        <v>2286.8322306869818</v>
      </c>
      <c r="K15" s="11">
        <v>2931.2349256860789</v>
      </c>
      <c r="L15" s="11">
        <v>2371.7712956261339</v>
      </c>
      <c r="M15" s="4">
        <v>-9.5328379164110402</v>
      </c>
      <c r="N15" s="5">
        <v>7.2225189745714525E-20</v>
      </c>
      <c r="O15" s="3" t="s">
        <v>19</v>
      </c>
      <c r="P15" s="13">
        <f>J15*G15/100*Итог!$B$2</f>
        <v>488884.5326396111</v>
      </c>
    </row>
    <row r="16" spans="1:16" x14ac:dyDescent="0.3">
      <c r="A16" s="1">
        <v>45</v>
      </c>
      <c r="B16" s="2" t="s">
        <v>18</v>
      </c>
      <c r="C16" s="3">
        <v>34</v>
      </c>
      <c r="D16" s="12">
        <v>225</v>
      </c>
      <c r="E16" s="12">
        <v>253</v>
      </c>
      <c r="F16" s="12">
        <v>478</v>
      </c>
      <c r="G16" s="4">
        <v>1.042734669837045</v>
      </c>
      <c r="H16" s="11">
        <v>3104.5066666666671</v>
      </c>
      <c r="I16" s="11">
        <v>1752.608695652174</v>
      </c>
      <c r="J16" s="11">
        <v>1351.8979710144929</v>
      </c>
      <c r="K16" s="11">
        <v>2956.8269145922541</v>
      </c>
      <c r="L16" s="11">
        <v>2529.7007981220472</v>
      </c>
      <c r="M16" s="4">
        <v>-5.3862649969282721</v>
      </c>
      <c r="N16" s="5">
        <v>1.1327785130388309E-7</v>
      </c>
      <c r="O16" s="3" t="s">
        <v>19</v>
      </c>
      <c r="P16" s="13">
        <f>J16*G16/100*Итог!$B$2</f>
        <v>281934.17689183366</v>
      </c>
    </row>
    <row r="17" spans="1:16" x14ac:dyDescent="0.3">
      <c r="A17" s="1">
        <v>46</v>
      </c>
      <c r="B17" s="2" t="s">
        <v>18</v>
      </c>
      <c r="C17" s="3">
        <v>35</v>
      </c>
      <c r="D17" s="12">
        <v>214</v>
      </c>
      <c r="E17" s="12">
        <v>194</v>
      </c>
      <c r="F17" s="12">
        <v>408</v>
      </c>
      <c r="G17" s="4">
        <v>0.89003293994459109</v>
      </c>
      <c r="H17" s="11">
        <v>2762.2242990654199</v>
      </c>
      <c r="I17" s="11">
        <v>1508.8350515463919</v>
      </c>
      <c r="J17" s="11">
        <v>1253.3892475190289</v>
      </c>
      <c r="K17" s="11">
        <v>2977.0835472163549</v>
      </c>
      <c r="L17" s="11">
        <v>2184.8080940632271</v>
      </c>
      <c r="M17" s="4">
        <v>-4.8066661954145689</v>
      </c>
      <c r="N17" s="5">
        <v>2.1646756758588111E-6</v>
      </c>
      <c r="O17" s="3" t="s">
        <v>19</v>
      </c>
      <c r="P17" s="13">
        <f>J17*G17/100*Итог!$B$2</f>
        <v>223111.54337286003</v>
      </c>
    </row>
    <row r="18" spans="1:16" x14ac:dyDescent="0.3">
      <c r="A18" s="1">
        <v>47</v>
      </c>
      <c r="B18" s="2" t="s">
        <v>18</v>
      </c>
      <c r="C18" s="3">
        <v>36</v>
      </c>
      <c r="D18" s="12">
        <v>131</v>
      </c>
      <c r="E18" s="12">
        <v>141</v>
      </c>
      <c r="F18" s="12">
        <v>272</v>
      </c>
      <c r="G18" s="4">
        <v>0.59335529329639403</v>
      </c>
      <c r="H18" s="11">
        <v>1987.3282442748091</v>
      </c>
      <c r="I18" s="11">
        <v>860.41843971631204</v>
      </c>
      <c r="J18" s="11">
        <v>1126.9098045584969</v>
      </c>
      <c r="K18" s="11">
        <v>2718.502663211576</v>
      </c>
      <c r="L18" s="11">
        <v>1840.8266394516049</v>
      </c>
      <c r="M18" s="4">
        <v>-4.0279507279668918</v>
      </c>
      <c r="N18" s="5">
        <v>7.3187580909933793E-5</v>
      </c>
      <c r="O18" s="3" t="s">
        <v>19</v>
      </c>
      <c r="P18" s="13">
        <f>J18*G18/100*Итог!$B$2</f>
        <v>133731.5795204778</v>
      </c>
    </row>
    <row r="19" spans="1:16" x14ac:dyDescent="0.3">
      <c r="P19" s="14">
        <f>SUM(P2:P18)</f>
        <v>5255440.1015057918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workbookViewId="0">
      <selection activeCell="P5" sqref="P5"/>
    </sheetView>
  </sheetViews>
  <sheetFormatPr defaultRowHeight="14.4" x14ac:dyDescent="0.3"/>
  <cols>
    <col min="1" max="1" width="5.44140625" customWidth="1"/>
    <col min="2" max="2" width="10.33203125" bestFit="1" customWidth="1"/>
    <col min="3" max="3" width="15.109375" bestFit="1" customWidth="1"/>
    <col min="4" max="4" width="10" bestFit="1" customWidth="1"/>
    <col min="5" max="5" width="12.88671875" bestFit="1" customWidth="1"/>
    <col min="6" max="6" width="8.77734375" bestFit="1" customWidth="1"/>
    <col min="7" max="7" width="13.44140625" bestFit="1" customWidth="1"/>
    <col min="8" max="8" width="16.77734375" bestFit="1" customWidth="1"/>
    <col min="9" max="9" width="19.77734375" bestFit="1" customWidth="1"/>
    <col min="10" max="10" width="9.44140625" customWidth="1"/>
    <col min="11" max="11" width="10" bestFit="1" customWidth="1"/>
    <col min="12" max="12" width="12.88671875" bestFit="1" customWidth="1"/>
    <col min="13" max="13" width="7.5546875" customWidth="1"/>
    <col min="14" max="14" width="11.44140625" bestFit="1" customWidth="1"/>
    <col min="15" max="15" width="17.5546875" customWidth="1"/>
    <col min="16" max="16" width="13.44140625" customWidth="1"/>
  </cols>
  <sheetData>
    <row r="1" spans="1:16" x14ac:dyDescent="0.3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43</v>
      </c>
    </row>
    <row r="2" spans="1:16" x14ac:dyDescent="0.3">
      <c r="A2" s="1">
        <v>33</v>
      </c>
      <c r="B2" s="2" t="s">
        <v>16</v>
      </c>
      <c r="C2" s="3">
        <v>9931</v>
      </c>
      <c r="D2" s="3">
        <v>153</v>
      </c>
      <c r="E2" s="3">
        <v>137</v>
      </c>
      <c r="F2" s="12">
        <v>290</v>
      </c>
      <c r="G2" s="4">
        <v>0.63262145241159662</v>
      </c>
      <c r="H2" s="11">
        <v>1415.7843137254899</v>
      </c>
      <c r="I2" s="11">
        <v>1968.693430656934</v>
      </c>
      <c r="J2" s="11">
        <v>-552.90911693144403</v>
      </c>
      <c r="K2" s="11">
        <v>2038.164247362319</v>
      </c>
      <c r="L2" s="11">
        <v>2403.3978568404668</v>
      </c>
      <c r="M2" s="4">
        <v>2.1191969117156</v>
      </c>
      <c r="N2" s="5">
        <v>3.4929468998951822E-2</v>
      </c>
      <c r="O2" s="3" t="s">
        <v>22</v>
      </c>
      <c r="P2" s="13">
        <f>J2*G2/100*Итог!$B$2</f>
        <v>-69956.433720956687</v>
      </c>
    </row>
    <row r="3" spans="1:16" x14ac:dyDescent="0.3">
      <c r="A3" s="1">
        <v>40</v>
      </c>
      <c r="B3" s="2" t="s">
        <v>20</v>
      </c>
      <c r="C3" s="3">
        <v>66</v>
      </c>
      <c r="D3" s="3">
        <v>657</v>
      </c>
      <c r="E3" s="3">
        <v>703</v>
      </c>
      <c r="F3" s="12">
        <v>1360</v>
      </c>
      <c r="G3" s="4">
        <v>2.9667764664819698</v>
      </c>
      <c r="H3" s="11">
        <v>2288.8706240487058</v>
      </c>
      <c r="I3" s="11">
        <v>2601.7610241820771</v>
      </c>
      <c r="J3" s="11">
        <v>-312.89040013337029</v>
      </c>
      <c r="K3" s="11">
        <v>2682.567610473357</v>
      </c>
      <c r="L3" s="11">
        <v>2830.1937733415111</v>
      </c>
      <c r="M3" s="4">
        <v>2.0892718943323438</v>
      </c>
      <c r="N3" s="5">
        <v>3.6868999280986539E-2</v>
      </c>
      <c r="O3" s="3" t="s">
        <v>22</v>
      </c>
      <c r="P3" s="13">
        <f>J3*G3/100*Итог!$B$2</f>
        <v>-185655.17514076203</v>
      </c>
    </row>
    <row r="4" spans="1:16" x14ac:dyDescent="0.3">
      <c r="A4" s="1">
        <v>48</v>
      </c>
      <c r="B4" s="2" t="s">
        <v>21</v>
      </c>
      <c r="C4" s="3">
        <v>1101</v>
      </c>
      <c r="D4" s="3">
        <v>785</v>
      </c>
      <c r="E4" s="3">
        <v>869</v>
      </c>
      <c r="F4" s="12">
        <v>1654</v>
      </c>
      <c r="G4" s="4">
        <v>3.608123732030279</v>
      </c>
      <c r="H4" s="11">
        <v>2176.0038216560511</v>
      </c>
      <c r="I4" s="11">
        <v>2523.5788262370538</v>
      </c>
      <c r="J4" s="11">
        <v>-347.57500458100321</v>
      </c>
      <c r="K4" s="11">
        <v>2722.6244937401748</v>
      </c>
      <c r="L4" s="11">
        <v>2960.352337638426</v>
      </c>
      <c r="M4" s="4">
        <v>2.476736308530425</v>
      </c>
      <c r="N4" s="5">
        <v>1.33584476189182E-2</v>
      </c>
      <c r="O4" s="3" t="s">
        <v>22</v>
      </c>
      <c r="P4" s="13">
        <f>J4*G4/100*Итог!$B$2</f>
        <v>-250818.72453785012</v>
      </c>
    </row>
    <row r="5" spans="1:16" x14ac:dyDescent="0.3">
      <c r="P5" s="14">
        <f>SUM(P2:P4)</f>
        <v>-506430.33339956886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6"/>
  <sheetViews>
    <sheetView workbookViewId="0">
      <selection activeCell="P35" sqref="P35"/>
    </sheetView>
  </sheetViews>
  <sheetFormatPr defaultRowHeight="14.4" x14ac:dyDescent="0.3"/>
  <cols>
    <col min="1" max="1" width="5.44140625" customWidth="1"/>
    <col min="2" max="2" width="17.33203125" bestFit="1" customWidth="1"/>
    <col min="3" max="3" width="15.109375" bestFit="1" customWidth="1"/>
    <col min="4" max="4" width="10" bestFit="1" customWidth="1"/>
    <col min="5" max="5" width="12.88671875" bestFit="1" customWidth="1"/>
    <col min="6" max="6" width="8.77734375" bestFit="1" customWidth="1"/>
    <col min="7" max="7" width="13.44140625" bestFit="1" customWidth="1"/>
    <col min="8" max="8" width="16.77734375" bestFit="1" customWidth="1"/>
    <col min="9" max="9" width="19.77734375" bestFit="1" customWidth="1"/>
    <col min="10" max="10" width="8.88671875" customWidth="1"/>
    <col min="11" max="11" width="10" bestFit="1" customWidth="1"/>
    <col min="12" max="12" width="12.88671875" bestFit="1" customWidth="1"/>
    <col min="13" max="13" width="7" customWidth="1"/>
    <col min="14" max="14" width="11.44140625" bestFit="1" customWidth="1"/>
    <col min="15" max="15" width="17.21875" customWidth="1"/>
    <col min="16" max="16" width="11.21875" customWidth="1"/>
  </cols>
  <sheetData>
    <row r="1" spans="1:16" x14ac:dyDescent="0.3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44</v>
      </c>
    </row>
    <row r="2" spans="1:16" x14ac:dyDescent="0.3">
      <c r="A2" s="1">
        <v>0</v>
      </c>
      <c r="B2" s="2" t="s">
        <v>23</v>
      </c>
      <c r="C2" s="3">
        <v>212</v>
      </c>
      <c r="D2" s="3">
        <v>593</v>
      </c>
      <c r="E2" s="3">
        <v>575</v>
      </c>
      <c r="F2" s="12">
        <v>1168</v>
      </c>
      <c r="G2" s="4">
        <v>2.5479374359198101</v>
      </c>
      <c r="H2" s="11">
        <v>2144.317032040472</v>
      </c>
      <c r="I2" s="11">
        <v>2222.052173913044</v>
      </c>
      <c r="J2" s="11">
        <v>-77.735141872571603</v>
      </c>
      <c r="K2" s="11">
        <v>2708.58872398012</v>
      </c>
      <c r="L2" s="11">
        <v>2785.1162501572289</v>
      </c>
      <c r="M2" s="4">
        <v>0.48358538550993968</v>
      </c>
      <c r="N2" s="5">
        <v>0.62877094764054164</v>
      </c>
      <c r="O2" s="3" t="s">
        <v>33</v>
      </c>
      <c r="P2" s="9">
        <f>16*(MIN(K2,L2)^2)/(Итог!$B$3^2)</f>
        <v>469.53298404302433</v>
      </c>
    </row>
    <row r="3" spans="1:16" x14ac:dyDescent="0.3">
      <c r="A3" s="1">
        <v>1</v>
      </c>
      <c r="B3" s="2" t="s">
        <v>23</v>
      </c>
      <c r="C3" s="3">
        <v>278</v>
      </c>
      <c r="D3" s="3">
        <v>535</v>
      </c>
      <c r="E3" s="3">
        <v>489</v>
      </c>
      <c r="F3" s="12">
        <v>1024</v>
      </c>
      <c r="G3" s="4">
        <v>2.233808162998189</v>
      </c>
      <c r="H3" s="11">
        <v>2499.3457943925232</v>
      </c>
      <c r="I3" s="11">
        <v>2185.21472392638</v>
      </c>
      <c r="J3" s="11">
        <v>314.13107046614277</v>
      </c>
      <c r="K3" s="11">
        <v>2915.9953289536438</v>
      </c>
      <c r="L3" s="11">
        <v>2574.9155972376088</v>
      </c>
      <c r="M3" s="4">
        <v>-1.8202681201948649</v>
      </c>
      <c r="N3" s="5">
        <v>6.9010560745835017E-2</v>
      </c>
      <c r="O3" s="3" t="s">
        <v>33</v>
      </c>
      <c r="P3" s="9">
        <f>16*(MIN(K3,L3)^2)/(Итог!$B$3^2)</f>
        <v>424.33218130544077</v>
      </c>
    </row>
    <row r="4" spans="1:16" x14ac:dyDescent="0.3">
      <c r="A4" s="1">
        <v>2</v>
      </c>
      <c r="B4" s="2" t="s">
        <v>23</v>
      </c>
      <c r="C4" s="3">
        <v>202</v>
      </c>
      <c r="D4" s="3">
        <v>551</v>
      </c>
      <c r="E4" s="3">
        <v>565</v>
      </c>
      <c r="F4" s="12">
        <v>1116</v>
      </c>
      <c r="G4" s="4">
        <v>2.4345018651425581</v>
      </c>
      <c r="H4" s="11">
        <v>2927.341197822142</v>
      </c>
      <c r="I4" s="11">
        <v>2730.378761061947</v>
      </c>
      <c r="J4" s="11">
        <v>196.96243676019461</v>
      </c>
      <c r="K4" s="11">
        <v>2956.6862414948778</v>
      </c>
      <c r="L4" s="11">
        <v>2737.8857851630241</v>
      </c>
      <c r="M4" s="4">
        <v>-1.155072918440385</v>
      </c>
      <c r="N4" s="5">
        <v>0.24830826390447139</v>
      </c>
      <c r="O4" s="3" t="s">
        <v>33</v>
      </c>
      <c r="P4" s="9">
        <f>16*(MIN(K4,L4)^2)/(Итог!$B$3^2)</f>
        <v>479.745188646256</v>
      </c>
    </row>
    <row r="5" spans="1:16" x14ac:dyDescent="0.3">
      <c r="A5" s="1">
        <v>3</v>
      </c>
      <c r="B5" s="2" t="s">
        <v>23</v>
      </c>
      <c r="C5" s="3">
        <v>444</v>
      </c>
      <c r="D5" s="3">
        <v>650</v>
      </c>
      <c r="E5" s="3">
        <v>562</v>
      </c>
      <c r="F5" s="12">
        <v>1212</v>
      </c>
      <c r="G5" s="4">
        <v>2.6439213804236381</v>
      </c>
      <c r="H5" s="11">
        <v>2404.106153846154</v>
      </c>
      <c r="I5" s="11">
        <v>2545.7348754448399</v>
      </c>
      <c r="J5" s="11">
        <v>-141.62872159868579</v>
      </c>
      <c r="K5" s="11">
        <v>2810.828487354604</v>
      </c>
      <c r="L5" s="11">
        <v>2797.1387639335198</v>
      </c>
      <c r="M5" s="4">
        <v>0.87674037193140575</v>
      </c>
      <c r="N5" s="5">
        <v>0.38080170010284242</v>
      </c>
      <c r="O5" s="3" t="s">
        <v>33</v>
      </c>
      <c r="P5" s="9">
        <f>16*(MIN(K5,L5)^2)/(Итог!$B$3^2)</f>
        <v>500.73505694077051</v>
      </c>
    </row>
    <row r="6" spans="1:16" x14ac:dyDescent="0.3">
      <c r="A6" s="1">
        <v>4</v>
      </c>
      <c r="B6" s="2" t="s">
        <v>23</v>
      </c>
      <c r="C6" s="3">
        <v>277</v>
      </c>
      <c r="D6" s="3">
        <v>708</v>
      </c>
      <c r="E6" s="3">
        <v>709</v>
      </c>
      <c r="F6" s="12">
        <v>1417</v>
      </c>
      <c r="G6" s="4">
        <v>3.0911193036801121</v>
      </c>
      <c r="H6" s="11">
        <v>2285.75</v>
      </c>
      <c r="I6" s="11">
        <v>2431.3653032440061</v>
      </c>
      <c r="J6" s="11">
        <v>-145.61530324400559</v>
      </c>
      <c r="K6" s="11">
        <v>2712.6778782628048</v>
      </c>
      <c r="L6" s="11">
        <v>2868.587568641391</v>
      </c>
      <c r="M6" s="4">
        <v>0.98170546685316118</v>
      </c>
      <c r="N6" s="5">
        <v>0.32641278977933119</v>
      </c>
      <c r="O6" s="3" t="s">
        <v>33</v>
      </c>
      <c r="P6" s="9">
        <f>16*(MIN(K6,L6)^2)/(Итог!$B$3^2)</f>
        <v>470.95176135784914</v>
      </c>
    </row>
    <row r="7" spans="1:16" x14ac:dyDescent="0.3">
      <c r="A7" s="1">
        <v>5</v>
      </c>
      <c r="B7" s="2" t="s">
        <v>24</v>
      </c>
      <c r="C7" s="3">
        <v>13</v>
      </c>
      <c r="D7" s="3">
        <v>142</v>
      </c>
      <c r="E7" s="3">
        <v>150</v>
      </c>
      <c r="F7" s="12">
        <v>292</v>
      </c>
      <c r="G7" s="4">
        <v>0.63698435897995243</v>
      </c>
      <c r="H7" s="11">
        <v>1970.549295774648</v>
      </c>
      <c r="I7" s="11">
        <v>2336.186666666666</v>
      </c>
      <c r="J7" s="11">
        <v>-365.63737089201868</v>
      </c>
      <c r="K7" s="11">
        <v>2575.9447611403298</v>
      </c>
      <c r="L7" s="11">
        <v>2709.8954644061359</v>
      </c>
      <c r="M7" s="4">
        <v>1.1803812868028429</v>
      </c>
      <c r="N7" s="5">
        <v>0.23881587049495981</v>
      </c>
      <c r="O7" s="3" t="s">
        <v>33</v>
      </c>
      <c r="P7" s="9">
        <f>16*(MIN(K7,L7)^2)/(Итог!$B$3^2)</f>
        <v>424.6714503965639</v>
      </c>
    </row>
    <row r="8" spans="1:16" x14ac:dyDescent="0.3">
      <c r="A8" s="1">
        <v>6</v>
      </c>
      <c r="B8" s="2" t="s">
        <v>25</v>
      </c>
      <c r="C8" s="3">
        <v>54</v>
      </c>
      <c r="D8" s="3">
        <v>633</v>
      </c>
      <c r="E8" s="3">
        <v>640</v>
      </c>
      <c r="F8" s="12">
        <v>1273</v>
      </c>
      <c r="G8" s="4">
        <v>2.7769900307584909</v>
      </c>
      <c r="H8" s="11">
        <v>1702.7140600315961</v>
      </c>
      <c r="I8" s="11">
        <v>1688.5125</v>
      </c>
      <c r="J8" s="11">
        <v>14.201560031595591</v>
      </c>
      <c r="K8" s="11">
        <v>2565.1324395339639</v>
      </c>
      <c r="L8" s="11">
        <v>2628.0124903233959</v>
      </c>
      <c r="M8" s="4">
        <v>-9.7555656950156625E-2</v>
      </c>
      <c r="N8" s="5">
        <v>0.92230051833342097</v>
      </c>
      <c r="O8" s="3" t="s">
        <v>33</v>
      </c>
      <c r="P8" s="9">
        <f>16*(MIN(K8,L8)^2)/(Итог!$B$3^2)</f>
        <v>421.11388367036574</v>
      </c>
    </row>
    <row r="9" spans="1:16" x14ac:dyDescent="0.3">
      <c r="A9" s="1">
        <v>7</v>
      </c>
      <c r="B9" s="2" t="s">
        <v>25</v>
      </c>
      <c r="C9" s="3">
        <v>55</v>
      </c>
      <c r="D9" s="3">
        <v>422</v>
      </c>
      <c r="E9" s="3">
        <v>425</v>
      </c>
      <c r="F9" s="12">
        <v>847</v>
      </c>
      <c r="G9" s="4">
        <v>1.847690931698698</v>
      </c>
      <c r="H9" s="11">
        <v>2109.1066350710898</v>
      </c>
      <c r="I9" s="11">
        <v>2111.2729411764708</v>
      </c>
      <c r="J9" s="11">
        <v>-2.1663061053809538</v>
      </c>
      <c r="K9" s="11">
        <v>2790.9933852461809</v>
      </c>
      <c r="L9" s="11">
        <v>2804.223188242755</v>
      </c>
      <c r="M9" s="4">
        <v>1.126774587434534E-2</v>
      </c>
      <c r="N9" s="5">
        <v>0.99101248941204068</v>
      </c>
      <c r="O9" s="3" t="s">
        <v>33</v>
      </c>
      <c r="P9" s="9">
        <f>16*(MIN(K9,L9)^2)/(Итог!$B$3^2)</f>
        <v>498.53722089522796</v>
      </c>
    </row>
    <row r="10" spans="1:16" x14ac:dyDescent="0.3">
      <c r="A10" s="1">
        <v>9</v>
      </c>
      <c r="B10" s="2" t="s">
        <v>14</v>
      </c>
      <c r="C10" s="3">
        <v>699</v>
      </c>
      <c r="D10" s="3">
        <v>482</v>
      </c>
      <c r="E10" s="3">
        <v>494</v>
      </c>
      <c r="F10" s="12">
        <v>976</v>
      </c>
      <c r="G10" s="4">
        <v>2.1290984053576492</v>
      </c>
      <c r="H10" s="11">
        <v>2422.286307053942</v>
      </c>
      <c r="I10" s="11">
        <v>2574.3522267206481</v>
      </c>
      <c r="J10" s="11">
        <v>-152.0659196667057</v>
      </c>
      <c r="K10" s="11">
        <v>3906.8178974938178</v>
      </c>
      <c r="L10" s="11">
        <v>4082.851355871665</v>
      </c>
      <c r="M10" s="4">
        <v>0.59425382588472897</v>
      </c>
      <c r="N10" s="5">
        <v>0.55248035588145283</v>
      </c>
      <c r="O10" s="3" t="s">
        <v>33</v>
      </c>
      <c r="P10" s="9">
        <f>16*(MIN(K10,L10)^2)/(Итог!$B$3^2)</f>
        <v>976.84646938739297</v>
      </c>
    </row>
    <row r="11" spans="1:16" x14ac:dyDescent="0.3">
      <c r="A11" s="1">
        <v>10</v>
      </c>
      <c r="B11" s="2" t="s">
        <v>14</v>
      </c>
      <c r="C11" s="3">
        <v>477</v>
      </c>
      <c r="D11" s="3">
        <v>382</v>
      </c>
      <c r="E11" s="3">
        <v>386</v>
      </c>
      <c r="F11" s="12">
        <v>768</v>
      </c>
      <c r="G11" s="4">
        <v>1.6753561222486419</v>
      </c>
      <c r="H11" s="11">
        <v>2259.623036649215</v>
      </c>
      <c r="I11" s="11">
        <v>2496.987046632124</v>
      </c>
      <c r="J11" s="11">
        <v>-237.36400998290989</v>
      </c>
      <c r="K11" s="11">
        <v>3482.8460937348018</v>
      </c>
      <c r="L11" s="11">
        <v>3881.994718522551</v>
      </c>
      <c r="M11" s="4">
        <v>0.89159336291986235</v>
      </c>
      <c r="N11" s="5">
        <v>0.37289090359186572</v>
      </c>
      <c r="O11" s="3" t="s">
        <v>33</v>
      </c>
      <c r="P11" s="9">
        <f>16*(MIN(K11,L11)^2)/(Итог!$B$3^2)</f>
        <v>776.33388240920112</v>
      </c>
    </row>
    <row r="12" spans="1:16" x14ac:dyDescent="0.3">
      <c r="A12" s="1">
        <v>11</v>
      </c>
      <c r="B12" s="2" t="s">
        <v>14</v>
      </c>
      <c r="C12" s="3">
        <v>544</v>
      </c>
      <c r="D12" s="3">
        <v>377</v>
      </c>
      <c r="E12" s="3">
        <v>416</v>
      </c>
      <c r="F12" s="12">
        <v>793</v>
      </c>
      <c r="G12" s="4">
        <v>1.72989245435309</v>
      </c>
      <c r="H12" s="11">
        <v>2621.4270557029181</v>
      </c>
      <c r="I12" s="11">
        <v>2635.5480769230771</v>
      </c>
      <c r="J12" s="11">
        <v>-14.12102122015949</v>
      </c>
      <c r="K12" s="11">
        <v>3714.8947510376838</v>
      </c>
      <c r="L12" s="11">
        <v>4639.820746183972</v>
      </c>
      <c r="M12" s="4">
        <v>4.6997059757738199E-2</v>
      </c>
      <c r="N12" s="5">
        <v>0.96252743362660054</v>
      </c>
      <c r="O12" s="3" t="s">
        <v>33</v>
      </c>
      <c r="P12" s="9">
        <f>16*(MIN(K12,L12)^2)/(Итог!$B$3^2)</f>
        <v>883.22835272238945</v>
      </c>
    </row>
    <row r="13" spans="1:16" x14ac:dyDescent="0.3">
      <c r="A13" s="1">
        <v>12</v>
      </c>
      <c r="B13" s="2" t="s">
        <v>14</v>
      </c>
      <c r="C13" s="3">
        <v>516</v>
      </c>
      <c r="D13" s="3">
        <v>634</v>
      </c>
      <c r="E13" s="3">
        <v>636</v>
      </c>
      <c r="F13" s="12">
        <v>1270</v>
      </c>
      <c r="G13" s="4">
        <v>2.7704456709059579</v>
      </c>
      <c r="H13" s="11">
        <v>3245.2003154574131</v>
      </c>
      <c r="I13" s="11">
        <v>2880.48427672956</v>
      </c>
      <c r="J13" s="11">
        <v>364.71603872785317</v>
      </c>
      <c r="K13" s="11">
        <v>4543.1692617437193</v>
      </c>
      <c r="L13" s="11">
        <v>3819.2928134705749</v>
      </c>
      <c r="M13" s="4">
        <v>-1.5486734367114749</v>
      </c>
      <c r="N13" s="5">
        <v>0.12170977776688099</v>
      </c>
      <c r="O13" s="3" t="s">
        <v>33</v>
      </c>
      <c r="P13" s="9">
        <f>16*(MIN(K13,L13)^2)/(Итог!$B$3^2)</f>
        <v>933.56784608179066</v>
      </c>
    </row>
    <row r="14" spans="1:16" x14ac:dyDescent="0.3">
      <c r="A14" s="1">
        <v>13</v>
      </c>
      <c r="B14" s="2" t="s">
        <v>14</v>
      </c>
      <c r="C14" s="3">
        <v>439</v>
      </c>
      <c r="D14" s="3">
        <v>355</v>
      </c>
      <c r="E14" s="3">
        <v>351</v>
      </c>
      <c r="F14" s="12">
        <v>706</v>
      </c>
      <c r="G14" s="4">
        <v>1.5401060186296109</v>
      </c>
      <c r="H14" s="11">
        <v>2481.9605633802821</v>
      </c>
      <c r="I14" s="11">
        <v>2400.635327635327</v>
      </c>
      <c r="J14" s="11">
        <v>81.325235744954171</v>
      </c>
      <c r="K14" s="11">
        <v>4040.441006810247</v>
      </c>
      <c r="L14" s="11">
        <v>3722.11707243604</v>
      </c>
      <c r="M14" s="4">
        <v>-0.27806735037805058</v>
      </c>
      <c r="N14" s="5">
        <v>0.78104230354142801</v>
      </c>
      <c r="O14" s="3" t="s">
        <v>33</v>
      </c>
      <c r="P14" s="9">
        <f>16*(MIN(K14,L14)^2)/(Итог!$B$3^2)</f>
        <v>886.66595205886961</v>
      </c>
    </row>
    <row r="15" spans="1:16" x14ac:dyDescent="0.3">
      <c r="A15" s="1">
        <v>15</v>
      </c>
      <c r="B15" s="2" t="s">
        <v>15</v>
      </c>
      <c r="C15" s="3">
        <v>112</v>
      </c>
      <c r="D15" s="3">
        <v>652</v>
      </c>
      <c r="E15" s="3">
        <v>683</v>
      </c>
      <c r="F15" s="12">
        <v>1335</v>
      </c>
      <c r="G15" s="4">
        <v>2.9122401343775222</v>
      </c>
      <c r="H15" s="11">
        <v>2488.1150306748468</v>
      </c>
      <c r="I15" s="11">
        <v>2218.6368960468521</v>
      </c>
      <c r="J15" s="11">
        <v>269.47813462799468</v>
      </c>
      <c r="K15" s="11">
        <v>2778.1791825699379</v>
      </c>
      <c r="L15" s="11">
        <v>2780.7906600356778</v>
      </c>
      <c r="M15" s="4">
        <v>-1.770712015951776</v>
      </c>
      <c r="N15" s="5">
        <v>7.6837103037525542E-2</v>
      </c>
      <c r="O15" s="3" t="s">
        <v>33</v>
      </c>
      <c r="P15" s="9">
        <f>16*(MIN(K15,L15)^2)/(Итог!$B$3^2)</f>
        <v>493.96989250975798</v>
      </c>
    </row>
    <row r="16" spans="1:16" x14ac:dyDescent="0.3">
      <c r="A16" s="1">
        <v>16</v>
      </c>
      <c r="B16" s="2" t="s">
        <v>15</v>
      </c>
      <c r="C16" s="3">
        <v>394</v>
      </c>
      <c r="D16" s="3">
        <v>104</v>
      </c>
      <c r="E16" s="3">
        <v>85</v>
      </c>
      <c r="F16" s="12">
        <v>189</v>
      </c>
      <c r="G16" s="4">
        <v>0.41229467070962678</v>
      </c>
      <c r="H16" s="11">
        <v>1229.6442307692309</v>
      </c>
      <c r="I16" s="11">
        <v>973.62352941176471</v>
      </c>
      <c r="J16" s="11">
        <v>256.02070135746601</v>
      </c>
      <c r="K16" s="11">
        <v>2208.227839827166</v>
      </c>
      <c r="L16" s="11">
        <v>1940.8548250244601</v>
      </c>
      <c r="M16" s="4">
        <v>-0.83682539191105032</v>
      </c>
      <c r="N16" s="5">
        <v>0.40375884675107382</v>
      </c>
      <c r="O16" s="3" t="s">
        <v>33</v>
      </c>
      <c r="P16" s="9">
        <f>16*(MIN(K16,L16)^2)/(Итог!$B$3^2)</f>
        <v>241.08271691652655</v>
      </c>
    </row>
    <row r="17" spans="1:16" x14ac:dyDescent="0.3">
      <c r="A17" s="1">
        <v>19</v>
      </c>
      <c r="B17" s="2" t="s">
        <v>15</v>
      </c>
      <c r="C17" s="3">
        <v>576</v>
      </c>
      <c r="D17" s="3">
        <v>630</v>
      </c>
      <c r="E17" s="3">
        <v>657</v>
      </c>
      <c r="F17" s="12">
        <v>1287</v>
      </c>
      <c r="G17" s="4">
        <v>2.8075303767369819</v>
      </c>
      <c r="H17" s="11">
        <v>1594.436507936508</v>
      </c>
      <c r="I17" s="11">
        <v>1342.1293759512939</v>
      </c>
      <c r="J17" s="11">
        <v>252.30713198521431</v>
      </c>
      <c r="K17" s="11">
        <v>2683.7272105777479</v>
      </c>
      <c r="L17" s="11">
        <v>2415.8226638760798</v>
      </c>
      <c r="M17" s="4">
        <v>-1.7740729896541769</v>
      </c>
      <c r="N17" s="5">
        <v>7.6287833758135845E-2</v>
      </c>
      <c r="O17" s="3" t="s">
        <v>33</v>
      </c>
      <c r="P17" s="9">
        <f>16*(MIN(K17,L17)^2)/(Итог!$B$3^2)</f>
        <v>373.51674517102839</v>
      </c>
    </row>
    <row r="18" spans="1:16" x14ac:dyDescent="0.3">
      <c r="A18" s="1">
        <v>20</v>
      </c>
      <c r="B18" s="2" t="s">
        <v>15</v>
      </c>
      <c r="C18" s="3">
        <v>309</v>
      </c>
      <c r="D18" s="3">
        <v>240</v>
      </c>
      <c r="E18" s="3">
        <v>238</v>
      </c>
      <c r="F18" s="12">
        <v>478</v>
      </c>
      <c r="G18" s="4">
        <v>1.042734669837045</v>
      </c>
      <c r="H18" s="11">
        <v>2706.2791666666672</v>
      </c>
      <c r="I18" s="11">
        <v>2392.8949579831929</v>
      </c>
      <c r="J18" s="11">
        <v>313.38420868347339</v>
      </c>
      <c r="K18" s="11">
        <v>2814.9398488604029</v>
      </c>
      <c r="L18" s="11">
        <v>2761.9387158176178</v>
      </c>
      <c r="M18" s="4">
        <v>-1.228454613597767</v>
      </c>
      <c r="N18" s="5">
        <v>0.21988338416718509</v>
      </c>
      <c r="O18" s="3" t="s">
        <v>33</v>
      </c>
      <c r="P18" s="9">
        <f>16*(MIN(K18,L18)^2)/(Итог!$B$3^2)</f>
        <v>488.21155007566534</v>
      </c>
    </row>
    <row r="19" spans="1:16" x14ac:dyDescent="0.3">
      <c r="A19" s="1">
        <v>26</v>
      </c>
      <c r="B19" s="2" t="s">
        <v>16</v>
      </c>
      <c r="C19" s="3">
        <v>6543</v>
      </c>
      <c r="D19" s="3">
        <v>662</v>
      </c>
      <c r="E19" s="3">
        <v>689</v>
      </c>
      <c r="F19" s="12">
        <v>1351</v>
      </c>
      <c r="G19" s="4">
        <v>2.9471433869243691</v>
      </c>
      <c r="H19" s="11">
        <v>1715.486404833837</v>
      </c>
      <c r="I19" s="11">
        <v>1528.3251088534109</v>
      </c>
      <c r="J19" s="11">
        <v>187.1612959804261</v>
      </c>
      <c r="K19" s="11">
        <v>2457.3687320570029</v>
      </c>
      <c r="L19" s="11">
        <v>2338.5220633259451</v>
      </c>
      <c r="M19" s="4">
        <v>-1.434398279645726</v>
      </c>
      <c r="N19" s="5">
        <v>0.15169040462954611</v>
      </c>
      <c r="O19" s="3" t="s">
        <v>33</v>
      </c>
      <c r="P19" s="9">
        <f>16*(MIN(K19,L19)^2)/(Итог!$B$3^2)</f>
        <v>349.99586820238306</v>
      </c>
    </row>
    <row r="20" spans="1:16" x14ac:dyDescent="0.3">
      <c r="A20" s="1">
        <v>28</v>
      </c>
      <c r="B20" s="2" t="s">
        <v>16</v>
      </c>
      <c r="C20" s="3">
        <v>3987</v>
      </c>
      <c r="D20" s="3">
        <v>801</v>
      </c>
      <c r="E20" s="3">
        <v>785</v>
      </c>
      <c r="F20" s="12">
        <v>1586</v>
      </c>
      <c r="G20" s="4">
        <v>3.4597849087061801</v>
      </c>
      <c r="H20" s="11">
        <v>1602.995006242197</v>
      </c>
      <c r="I20" s="11">
        <v>1639.857324840764</v>
      </c>
      <c r="J20" s="11">
        <v>-36.862318598567072</v>
      </c>
      <c r="K20" s="11">
        <v>2518.8292052013039</v>
      </c>
      <c r="L20" s="11">
        <v>2686.3174166097911</v>
      </c>
      <c r="M20" s="4">
        <v>0.28196520087867383</v>
      </c>
      <c r="N20" s="5">
        <v>0.77800702736032634</v>
      </c>
      <c r="O20" s="3" t="s">
        <v>33</v>
      </c>
      <c r="P20" s="9">
        <f>16*(MIN(K20,L20)^2)/(Итог!$B$3^2)</f>
        <v>406.04803615840211</v>
      </c>
    </row>
    <row r="21" spans="1:16" x14ac:dyDescent="0.3">
      <c r="A21" s="1">
        <v>29</v>
      </c>
      <c r="B21" s="2" t="s">
        <v>16</v>
      </c>
      <c r="C21" s="3">
        <v>8543</v>
      </c>
      <c r="D21" s="3">
        <v>148</v>
      </c>
      <c r="E21" s="3">
        <v>140</v>
      </c>
      <c r="F21" s="12">
        <v>288</v>
      </c>
      <c r="G21" s="4">
        <v>0.62825854584324081</v>
      </c>
      <c r="H21" s="11">
        <v>1859.7770270270271</v>
      </c>
      <c r="I21" s="11">
        <v>1804.25</v>
      </c>
      <c r="J21" s="11">
        <v>55.527027027027088</v>
      </c>
      <c r="K21" s="11">
        <v>2568.980429381174</v>
      </c>
      <c r="L21" s="11">
        <v>3015.726630467726</v>
      </c>
      <c r="M21" s="4">
        <v>-0.16850596566670989</v>
      </c>
      <c r="N21" s="5">
        <v>0.86630435550570684</v>
      </c>
      <c r="O21" s="3" t="s">
        <v>33</v>
      </c>
      <c r="P21" s="9">
        <f>16*(MIN(K21,L21)^2)/(Итог!$B$3^2)</f>
        <v>422.37826857878281</v>
      </c>
    </row>
    <row r="22" spans="1:16" x14ac:dyDescent="0.3">
      <c r="A22" s="1">
        <v>30</v>
      </c>
      <c r="B22" s="2" t="s">
        <v>16</v>
      </c>
      <c r="C22" s="3">
        <v>2212</v>
      </c>
      <c r="D22" s="3">
        <v>422</v>
      </c>
      <c r="E22" s="3">
        <v>397</v>
      </c>
      <c r="F22" s="12">
        <v>819</v>
      </c>
      <c r="G22" s="4">
        <v>1.7866102397417161</v>
      </c>
      <c r="H22" s="11">
        <v>2827.2369668246452</v>
      </c>
      <c r="I22" s="11">
        <v>2739.3627204030231</v>
      </c>
      <c r="J22" s="11">
        <v>87.874246421622047</v>
      </c>
      <c r="K22" s="11">
        <v>3197.5429641908408</v>
      </c>
      <c r="L22" s="11">
        <v>2446.975036181947</v>
      </c>
      <c r="M22" s="4">
        <v>-0.43968207853877772</v>
      </c>
      <c r="N22" s="5">
        <v>0.66028366208891054</v>
      </c>
      <c r="O22" s="3" t="s">
        <v>33</v>
      </c>
      <c r="P22" s="9">
        <f>16*(MIN(K22,L22)^2)/(Итог!$B$3^2)</f>
        <v>383.21195697264898</v>
      </c>
    </row>
    <row r="23" spans="1:16" x14ac:dyDescent="0.3">
      <c r="A23" s="1">
        <v>32</v>
      </c>
      <c r="B23" s="2" t="s">
        <v>16</v>
      </c>
      <c r="C23" s="3">
        <v>9121</v>
      </c>
      <c r="D23" s="3">
        <v>131</v>
      </c>
      <c r="E23" s="3">
        <v>108</v>
      </c>
      <c r="F23" s="12">
        <v>239</v>
      </c>
      <c r="G23" s="4">
        <v>0.52136733491852272</v>
      </c>
      <c r="H23" s="11">
        <v>1976.854961832061</v>
      </c>
      <c r="I23" s="11">
        <v>1856.9444444444439</v>
      </c>
      <c r="J23" s="11">
        <v>119.91051738761669</v>
      </c>
      <c r="K23" s="11">
        <v>2605.797427400732</v>
      </c>
      <c r="L23" s="11">
        <v>2442.3261657052431</v>
      </c>
      <c r="M23" s="4">
        <v>-0.36418256697602858</v>
      </c>
      <c r="N23" s="5">
        <v>0.71604638423203104</v>
      </c>
      <c r="O23" s="3" t="s">
        <v>33</v>
      </c>
      <c r="P23" s="9">
        <f>16*(MIN(K23,L23)^2)/(Итог!$B$3^2)</f>
        <v>381.75725438006236</v>
      </c>
    </row>
    <row r="24" spans="1:16" x14ac:dyDescent="0.3">
      <c r="A24" s="1">
        <v>34</v>
      </c>
      <c r="B24" s="2" t="s">
        <v>16</v>
      </c>
      <c r="C24" s="3">
        <v>3786</v>
      </c>
      <c r="D24" s="3">
        <v>237</v>
      </c>
      <c r="E24" s="3">
        <v>278</v>
      </c>
      <c r="F24" s="12">
        <v>515</v>
      </c>
      <c r="G24" s="4">
        <v>1.123448441351629</v>
      </c>
      <c r="H24" s="11">
        <v>2636.658227848101</v>
      </c>
      <c r="I24" s="11">
        <v>2688.2302158273378</v>
      </c>
      <c r="J24" s="11">
        <v>-51.571987979236837</v>
      </c>
      <c r="K24" s="11">
        <v>2713.0636767412552</v>
      </c>
      <c r="L24" s="11">
        <v>3292.9376410463929</v>
      </c>
      <c r="M24" s="4">
        <v>0.1918852001092001</v>
      </c>
      <c r="N24" s="5">
        <v>0.84790805885187892</v>
      </c>
      <c r="O24" s="3" t="s">
        <v>33</v>
      </c>
      <c r="P24" s="9">
        <f>16*(MIN(K24,L24)^2)/(Итог!$B$3^2)</f>
        <v>471.08572889937784</v>
      </c>
    </row>
    <row r="25" spans="1:16" x14ac:dyDescent="0.3">
      <c r="A25" s="1">
        <v>36</v>
      </c>
      <c r="B25" s="2" t="s">
        <v>26</v>
      </c>
      <c r="C25" s="3">
        <v>80</v>
      </c>
      <c r="D25" s="3">
        <v>844</v>
      </c>
      <c r="E25" s="3">
        <v>880</v>
      </c>
      <c r="F25" s="12">
        <v>1724</v>
      </c>
      <c r="G25" s="4">
        <v>3.760825461922733</v>
      </c>
      <c r="H25" s="11">
        <v>2517.3305687203788</v>
      </c>
      <c r="I25" s="11">
        <v>2511.9727272727268</v>
      </c>
      <c r="J25" s="11">
        <v>5.3578414476519356</v>
      </c>
      <c r="K25" s="11">
        <v>2797.1230332386049</v>
      </c>
      <c r="L25" s="11">
        <v>2824.7199322235629</v>
      </c>
      <c r="M25" s="4">
        <v>-3.9558086467205961E-2</v>
      </c>
      <c r="N25" s="5">
        <v>0.96845002895143795</v>
      </c>
      <c r="O25" s="3" t="s">
        <v>33</v>
      </c>
      <c r="P25" s="9">
        <f>16*(MIN(K25,L25)^2)/(Итог!$B$3^2)</f>
        <v>500.72942483673171</v>
      </c>
    </row>
    <row r="26" spans="1:16" x14ac:dyDescent="0.3">
      <c r="A26" s="1">
        <v>37</v>
      </c>
      <c r="B26" s="2" t="s">
        <v>26</v>
      </c>
      <c r="C26" s="3">
        <v>82</v>
      </c>
      <c r="D26" s="3">
        <v>169</v>
      </c>
      <c r="E26" s="3">
        <v>229</v>
      </c>
      <c r="F26" s="12">
        <v>398</v>
      </c>
      <c r="G26" s="4">
        <v>0.86821840710281184</v>
      </c>
      <c r="H26" s="11">
        <v>2586.0118343195272</v>
      </c>
      <c r="I26" s="11">
        <v>2655.6724890829701</v>
      </c>
      <c r="J26" s="11">
        <v>-69.660654763442835</v>
      </c>
      <c r="K26" s="11">
        <v>2676.435562700452</v>
      </c>
      <c r="L26" s="11">
        <v>2929.363686396488</v>
      </c>
      <c r="M26" s="4">
        <v>0.2431728557168128</v>
      </c>
      <c r="N26" s="5">
        <v>0.80799740556960586</v>
      </c>
      <c r="O26" s="3" t="s">
        <v>33</v>
      </c>
      <c r="P26" s="9">
        <f>16*(MIN(K26,L26)^2)/(Итог!$B$3^2)</f>
        <v>458.45166856241184</v>
      </c>
    </row>
    <row r="27" spans="1:16" x14ac:dyDescent="0.3">
      <c r="A27" s="1">
        <v>38</v>
      </c>
      <c r="B27" s="2" t="s">
        <v>27</v>
      </c>
      <c r="C27" s="3">
        <v>88</v>
      </c>
      <c r="D27" s="3">
        <v>190</v>
      </c>
      <c r="E27" s="3">
        <v>167</v>
      </c>
      <c r="F27" s="12">
        <v>357</v>
      </c>
      <c r="G27" s="4">
        <v>0.77877882245151719</v>
      </c>
      <c r="H27" s="11">
        <v>2902.410526315789</v>
      </c>
      <c r="I27" s="11">
        <v>2439.4610778443121</v>
      </c>
      <c r="J27" s="11">
        <v>462.94944847147781</v>
      </c>
      <c r="K27" s="11">
        <v>3074.6488868920269</v>
      </c>
      <c r="L27" s="11">
        <v>2689.343053091382</v>
      </c>
      <c r="M27" s="4">
        <v>-1.5045563456740749</v>
      </c>
      <c r="N27" s="5">
        <v>0.1333273246710206</v>
      </c>
      <c r="O27" s="3" t="s">
        <v>33</v>
      </c>
      <c r="P27" s="9">
        <f>16*(MIN(K27,L27)^2)/(Итог!$B$3^2)</f>
        <v>462.88422766149603</v>
      </c>
    </row>
    <row r="28" spans="1:16" x14ac:dyDescent="0.3">
      <c r="A28" s="1">
        <v>39</v>
      </c>
      <c r="B28" s="2" t="s">
        <v>28</v>
      </c>
      <c r="C28" s="3">
        <v>19</v>
      </c>
      <c r="D28" s="3">
        <v>130</v>
      </c>
      <c r="E28" s="3">
        <v>146</v>
      </c>
      <c r="F28" s="12">
        <v>276</v>
      </c>
      <c r="G28" s="4">
        <v>0.60208110643310575</v>
      </c>
      <c r="H28" s="11">
        <v>2043.823076923077</v>
      </c>
      <c r="I28" s="11">
        <v>1743.3767123287671</v>
      </c>
      <c r="J28" s="11">
        <v>300.4463645943099</v>
      </c>
      <c r="K28" s="11">
        <v>2442.2667875313759</v>
      </c>
      <c r="L28" s="11">
        <v>2891.333359375938</v>
      </c>
      <c r="M28" s="4">
        <v>-0.92645906346779439</v>
      </c>
      <c r="N28" s="5">
        <v>0.35502276486047568</v>
      </c>
      <c r="O28" s="3" t="s">
        <v>33</v>
      </c>
      <c r="P28" s="9">
        <f>16*(MIN(K28,L28)^2)/(Итог!$B$3^2)</f>
        <v>381.73869193464492</v>
      </c>
    </row>
    <row r="29" spans="1:16" x14ac:dyDescent="0.3">
      <c r="A29" s="1">
        <v>41</v>
      </c>
      <c r="B29" s="2" t="s">
        <v>29</v>
      </c>
      <c r="C29" s="3">
        <v>72</v>
      </c>
      <c r="D29" s="3">
        <v>609</v>
      </c>
      <c r="E29" s="3">
        <v>639</v>
      </c>
      <c r="F29" s="12">
        <v>1248</v>
      </c>
      <c r="G29" s="4">
        <v>2.7224536986540429</v>
      </c>
      <c r="H29" s="11">
        <v>2371.4334975369461</v>
      </c>
      <c r="I29" s="11">
        <v>2523.3755868544599</v>
      </c>
      <c r="J29" s="11">
        <v>-151.9420893175143</v>
      </c>
      <c r="K29" s="11">
        <v>2906.824457531342</v>
      </c>
      <c r="L29" s="11">
        <v>2795.917175533607</v>
      </c>
      <c r="M29" s="4">
        <v>0.94123363535756777</v>
      </c>
      <c r="N29" s="5">
        <v>0.3467675852041211</v>
      </c>
      <c r="O29" s="3" t="s">
        <v>33</v>
      </c>
      <c r="P29" s="9">
        <f>16*(MIN(K29,L29)^2)/(Итог!$B$3^2)</f>
        <v>500.29778255640463</v>
      </c>
    </row>
    <row r="30" spans="1:16" x14ac:dyDescent="0.3">
      <c r="A30" s="1">
        <v>42</v>
      </c>
      <c r="B30" s="2" t="s">
        <v>29</v>
      </c>
      <c r="C30" s="3">
        <v>73</v>
      </c>
      <c r="D30" s="3">
        <v>187</v>
      </c>
      <c r="E30" s="3">
        <v>167</v>
      </c>
      <c r="F30" s="12">
        <v>354</v>
      </c>
      <c r="G30" s="4">
        <v>0.77223446259898343</v>
      </c>
      <c r="H30" s="11">
        <v>2092.181818181818</v>
      </c>
      <c r="I30" s="11">
        <v>2521.958083832335</v>
      </c>
      <c r="J30" s="11">
        <v>-429.77626565051742</v>
      </c>
      <c r="K30" s="11">
        <v>2530.274648080996</v>
      </c>
      <c r="L30" s="11">
        <v>2875.4596329355918</v>
      </c>
      <c r="M30" s="4">
        <v>1.4958446791905911</v>
      </c>
      <c r="N30" s="5">
        <v>0.13559014690618429</v>
      </c>
      <c r="O30" s="3" t="s">
        <v>33</v>
      </c>
      <c r="P30" s="9">
        <f>16*(MIN(K30,L30)^2)/(Итог!$B$3^2)</f>
        <v>409.74654686217013</v>
      </c>
    </row>
    <row r="31" spans="1:16" x14ac:dyDescent="0.3">
      <c r="A31" s="1">
        <v>49</v>
      </c>
      <c r="B31" s="2" t="s">
        <v>21</v>
      </c>
      <c r="C31" s="3">
        <v>1989</v>
      </c>
      <c r="D31" s="3">
        <v>239</v>
      </c>
      <c r="E31" s="3">
        <v>270</v>
      </c>
      <c r="F31" s="12">
        <v>509</v>
      </c>
      <c r="G31" s="4">
        <v>1.110359721646561</v>
      </c>
      <c r="H31" s="11">
        <v>4407.3849372384939</v>
      </c>
      <c r="I31" s="11">
        <v>4163.9592592592589</v>
      </c>
      <c r="J31" s="11">
        <v>243.42567797923491</v>
      </c>
      <c r="K31" s="11">
        <v>2737.9007251199769</v>
      </c>
      <c r="L31" s="11">
        <v>2492.0962933115161</v>
      </c>
      <c r="M31" s="4">
        <v>-1.0499935308392909</v>
      </c>
      <c r="N31" s="5">
        <v>0.29422131648059052</v>
      </c>
      <c r="O31" s="3" t="s">
        <v>33</v>
      </c>
      <c r="P31" s="9">
        <f>16*(MIN(K31,L31)^2)/(Итог!$B$3^2)</f>
        <v>397.4748118487679</v>
      </c>
    </row>
    <row r="32" spans="1:16" x14ac:dyDescent="0.3">
      <c r="A32" s="1">
        <v>50</v>
      </c>
      <c r="B32" s="2" t="s">
        <v>30</v>
      </c>
      <c r="C32" s="3">
        <v>69</v>
      </c>
      <c r="D32" s="3">
        <v>75</v>
      </c>
      <c r="E32" s="3">
        <v>78</v>
      </c>
      <c r="F32" s="12">
        <v>153</v>
      </c>
      <c r="G32" s="4">
        <v>0.33376235247922159</v>
      </c>
      <c r="H32" s="11">
        <v>1171.4533333333329</v>
      </c>
      <c r="I32" s="11">
        <v>600.15384615384619</v>
      </c>
      <c r="J32" s="11">
        <v>571.29948717948719</v>
      </c>
      <c r="K32" s="11">
        <v>2578.1041027632468</v>
      </c>
      <c r="L32" s="11">
        <v>1690.139755052342</v>
      </c>
      <c r="M32" s="4">
        <v>-1.6270604929283119</v>
      </c>
      <c r="N32" s="5">
        <v>0.105809212549273</v>
      </c>
      <c r="O32" s="3" t="s">
        <v>33</v>
      </c>
      <c r="P32" s="9">
        <f>16*(MIN(K32,L32)^2)/(Итог!$B$3^2)</f>
        <v>182.82063306293699</v>
      </c>
    </row>
    <row r="33" spans="1:16" x14ac:dyDescent="0.3">
      <c r="A33" s="1">
        <v>51</v>
      </c>
      <c r="B33" s="2" t="s">
        <v>31</v>
      </c>
      <c r="C33" s="3">
        <v>23</v>
      </c>
      <c r="D33" s="3">
        <v>124</v>
      </c>
      <c r="E33" s="3">
        <v>107</v>
      </c>
      <c r="F33" s="12">
        <v>231</v>
      </c>
      <c r="G33" s="4">
        <v>0.50391570864509938</v>
      </c>
      <c r="H33" s="11">
        <v>1384.6290322580651</v>
      </c>
      <c r="I33" s="11">
        <v>1315.981308411215</v>
      </c>
      <c r="J33" s="11">
        <v>68.647723846849658</v>
      </c>
      <c r="K33" s="11">
        <v>2471.691775939677</v>
      </c>
      <c r="L33" s="11">
        <v>2220.0107129662829</v>
      </c>
      <c r="M33" s="4">
        <v>-0.22058740929760279</v>
      </c>
      <c r="N33" s="5">
        <v>0.82561024347929624</v>
      </c>
      <c r="O33" s="3" t="s">
        <v>33</v>
      </c>
      <c r="P33" s="9">
        <f>16*(MIN(K33,L33)^2)/(Итог!$B$3^2)</f>
        <v>315.42064420384406</v>
      </c>
    </row>
    <row r="34" spans="1:16" x14ac:dyDescent="0.3">
      <c r="A34" s="1">
        <v>52</v>
      </c>
      <c r="B34" s="2" t="s">
        <v>32</v>
      </c>
      <c r="C34" s="3">
        <v>2</v>
      </c>
      <c r="D34" s="3">
        <v>78</v>
      </c>
      <c r="E34" s="3">
        <v>71</v>
      </c>
      <c r="F34" s="12">
        <v>149</v>
      </c>
      <c r="G34" s="4">
        <v>0.32503653934250998</v>
      </c>
      <c r="H34" s="11">
        <v>579.33333333333337</v>
      </c>
      <c r="I34" s="11">
        <v>483.45070422535213</v>
      </c>
      <c r="J34" s="11">
        <v>95.882629107981245</v>
      </c>
      <c r="K34" s="11">
        <v>1860.762430432972</v>
      </c>
      <c r="L34" s="11">
        <v>1654.9231815467831</v>
      </c>
      <c r="M34" s="4">
        <v>-0.33105243476452068</v>
      </c>
      <c r="N34" s="5">
        <v>0.7410763125801646</v>
      </c>
      <c r="O34" s="3" t="s">
        <v>33</v>
      </c>
      <c r="P34" s="9">
        <f>16*(MIN(K34,L34)^2)/(Итог!$B$3^2)</f>
        <v>175.28132715653933</v>
      </c>
    </row>
    <row r="35" spans="1:16" x14ac:dyDescent="0.3">
      <c r="P35" s="15">
        <f>SUM(P2:P34)</f>
        <v>15942.366006465722</v>
      </c>
    </row>
    <row r="36" spans="1:16" x14ac:dyDescent="0.3">
      <c r="K36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Итог</vt:lpstr>
      <vt:lpstr>Positive outcome</vt:lpstr>
      <vt:lpstr>Negative outcome</vt:lpstr>
      <vt:lpstr>Neutral outcome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Vera</cp:lastModifiedBy>
  <dcterms:created xsi:type="dcterms:W3CDTF">2026-06-30T16:20:25Z</dcterms:created>
  <dcterms:modified xsi:type="dcterms:W3CDTF">2026-07-24T15:14:40Z</dcterms:modified>
</cp:coreProperties>
</file>