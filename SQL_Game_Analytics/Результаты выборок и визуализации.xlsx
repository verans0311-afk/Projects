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a\Desktop\Аналитика данных\Центр карьеры\Проекты\2. Анализ данных мобильной игры -\"/>
    </mc:Choice>
  </mc:AlternateContent>
  <xr:revisionPtr revIDLastSave="0" documentId="13_ncr:1_{177C632C-4EE5-43D4-9683-13A8FC3D9DD5}" xr6:coauthVersionLast="47" xr6:coauthVersionMax="47" xr10:uidLastSave="{00000000-0000-0000-0000-000000000000}"/>
  <bookViews>
    <workbookView xWindow="-108" yWindow="-108" windowWidth="23256" windowHeight="13896" tabRatio="705" activeTab="10" xr2:uid="{A0DB5CE7-0DBF-408C-9BB2-1FD144BBE632}"/>
  </bookViews>
  <sheets>
    <sheet name="Слайд 2.1" sheetId="2" r:id="rId1"/>
    <sheet name="Слайд 2.2" sheetId="3" r:id="rId2"/>
    <sheet name="Слайд 4" sheetId="4" r:id="rId3"/>
    <sheet name="Слайд 5" sheetId="5" r:id="rId4"/>
    <sheet name="Слайд 6" sheetId="6" r:id="rId5"/>
    <sheet name="Слайд 7" sheetId="7" r:id="rId6"/>
    <sheet name="Слайд 10.1" sheetId="8" r:id="rId7"/>
    <sheet name="Слайд 10.2" sheetId="9" r:id="rId8"/>
    <sheet name="Слайд 11.1" sheetId="10" r:id="rId9"/>
    <sheet name="Слайд 11.2" sheetId="11" r:id="rId10"/>
    <sheet name="Слайд 12" sheetId="12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chart.v1.0" hidden="1">'Слайд 12'!$B$1</definedName>
    <definedName name="_xlchart.v1.1" hidden="1">'Слайд 12'!$B$2:$B$101</definedName>
  </definedNames>
  <calcPr calcId="191029"/>
  <pivotCaches>
    <pivotCache cacheId="2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4" i="4" l="1"/>
  <c r="F304" i="4"/>
  <c r="A304" i="4"/>
  <c r="G303" i="4"/>
  <c r="F303" i="4"/>
  <c r="A303" i="4"/>
  <c r="G302" i="4"/>
  <c r="F302" i="4"/>
  <c r="A302" i="4"/>
  <c r="G301" i="4"/>
  <c r="F301" i="4"/>
  <c r="A301" i="4"/>
  <c r="G300" i="4"/>
  <c r="F300" i="4"/>
  <c r="A300" i="4"/>
  <c r="G299" i="4"/>
  <c r="F299" i="4"/>
  <c r="A299" i="4"/>
  <c r="G298" i="4"/>
  <c r="F298" i="4"/>
  <c r="A298" i="4"/>
  <c r="G297" i="4"/>
  <c r="F297" i="4"/>
  <c r="A297" i="4"/>
  <c r="G296" i="4"/>
  <c r="F296" i="4"/>
  <c r="A296" i="4"/>
  <c r="G295" i="4"/>
  <c r="F295" i="4"/>
  <c r="A295" i="4"/>
  <c r="G294" i="4"/>
  <c r="F294" i="4"/>
  <c r="A294" i="4"/>
  <c r="G293" i="4"/>
  <c r="F293" i="4"/>
  <c r="A293" i="4"/>
  <c r="G292" i="4"/>
  <c r="F292" i="4"/>
  <c r="A292" i="4"/>
  <c r="G291" i="4"/>
  <c r="F291" i="4"/>
  <c r="A291" i="4"/>
  <c r="G290" i="4"/>
  <c r="F290" i="4"/>
  <c r="A290" i="4"/>
  <c r="G289" i="4"/>
  <c r="F289" i="4"/>
  <c r="A289" i="4"/>
  <c r="G288" i="4"/>
  <c r="F288" i="4"/>
  <c r="A288" i="4"/>
  <c r="G287" i="4"/>
  <c r="F287" i="4"/>
  <c r="A287" i="4"/>
  <c r="G286" i="4"/>
  <c r="F286" i="4"/>
  <c r="A286" i="4"/>
  <c r="G285" i="4"/>
  <c r="F285" i="4"/>
  <c r="A285" i="4"/>
  <c r="G284" i="4"/>
  <c r="F284" i="4"/>
  <c r="A284" i="4"/>
  <c r="G283" i="4"/>
  <c r="F283" i="4"/>
  <c r="A283" i="4"/>
  <c r="G282" i="4"/>
  <c r="F282" i="4"/>
  <c r="A282" i="4"/>
  <c r="G281" i="4"/>
  <c r="F281" i="4"/>
  <c r="A281" i="4"/>
  <c r="G280" i="4"/>
  <c r="F280" i="4"/>
  <c r="A280" i="4"/>
  <c r="G279" i="4"/>
  <c r="F279" i="4"/>
  <c r="A279" i="4"/>
  <c r="G278" i="4"/>
  <c r="F278" i="4"/>
  <c r="A278" i="4"/>
  <c r="G277" i="4"/>
  <c r="F277" i="4"/>
  <c r="A277" i="4"/>
  <c r="G276" i="4"/>
  <c r="F276" i="4"/>
  <c r="A276" i="4"/>
  <c r="G275" i="4"/>
  <c r="F275" i="4"/>
  <c r="A275" i="4"/>
  <c r="G274" i="4"/>
  <c r="F274" i="4"/>
  <c r="A274" i="4"/>
  <c r="G273" i="4"/>
  <c r="F273" i="4"/>
  <c r="A273" i="4"/>
  <c r="G272" i="4"/>
  <c r="F272" i="4"/>
  <c r="A272" i="4"/>
  <c r="G271" i="4"/>
  <c r="F271" i="4"/>
  <c r="A271" i="4"/>
  <c r="G270" i="4"/>
  <c r="F270" i="4"/>
  <c r="A270" i="4"/>
  <c r="G269" i="4"/>
  <c r="F269" i="4"/>
  <c r="A269" i="4"/>
  <c r="G268" i="4"/>
  <c r="F268" i="4"/>
  <c r="A268" i="4"/>
  <c r="G267" i="4"/>
  <c r="F267" i="4"/>
  <c r="A267" i="4"/>
  <c r="G266" i="4"/>
  <c r="F266" i="4"/>
  <c r="A266" i="4"/>
  <c r="G265" i="4"/>
  <c r="F265" i="4"/>
  <c r="A265" i="4"/>
  <c r="G264" i="4"/>
  <c r="F264" i="4"/>
  <c r="A264" i="4"/>
  <c r="G263" i="4"/>
  <c r="F263" i="4"/>
  <c r="A263" i="4"/>
  <c r="G262" i="4"/>
  <c r="F262" i="4"/>
  <c r="A262" i="4"/>
  <c r="G261" i="4"/>
  <c r="F261" i="4"/>
  <c r="A261" i="4"/>
  <c r="G260" i="4"/>
  <c r="F260" i="4"/>
  <c r="A260" i="4"/>
  <c r="G259" i="4"/>
  <c r="F259" i="4"/>
  <c r="A259" i="4"/>
  <c r="G258" i="4"/>
  <c r="F258" i="4"/>
  <c r="A258" i="4"/>
  <c r="G257" i="4"/>
  <c r="F257" i="4"/>
  <c r="A257" i="4"/>
  <c r="G256" i="4"/>
  <c r="F256" i="4"/>
  <c r="A256" i="4"/>
  <c r="G255" i="4"/>
  <c r="F255" i="4"/>
  <c r="A255" i="4"/>
  <c r="G254" i="4"/>
  <c r="F254" i="4"/>
  <c r="A254" i="4"/>
  <c r="G253" i="4"/>
  <c r="F253" i="4"/>
  <c r="A253" i="4"/>
  <c r="G252" i="4"/>
  <c r="F252" i="4"/>
  <c r="A252" i="4"/>
  <c r="G251" i="4"/>
  <c r="F251" i="4"/>
  <c r="A251" i="4"/>
  <c r="G250" i="4"/>
  <c r="F250" i="4"/>
  <c r="A250" i="4"/>
  <c r="G249" i="4"/>
  <c r="F249" i="4"/>
  <c r="A249" i="4"/>
  <c r="G248" i="4"/>
  <c r="F248" i="4"/>
  <c r="A248" i="4"/>
  <c r="G247" i="4"/>
  <c r="F247" i="4"/>
  <c r="A247" i="4"/>
  <c r="G246" i="4"/>
  <c r="F246" i="4"/>
  <c r="A246" i="4"/>
  <c r="G245" i="4"/>
  <c r="F245" i="4"/>
  <c r="A245" i="4"/>
  <c r="G244" i="4"/>
  <c r="F244" i="4"/>
  <c r="A244" i="4"/>
  <c r="G243" i="4"/>
  <c r="F243" i="4"/>
  <c r="A243" i="4"/>
  <c r="G242" i="4"/>
  <c r="F242" i="4"/>
  <c r="A242" i="4"/>
  <c r="G241" i="4"/>
  <c r="F241" i="4"/>
  <c r="A241" i="4"/>
  <c r="G240" i="4"/>
  <c r="F240" i="4"/>
  <c r="A240" i="4"/>
  <c r="G239" i="4"/>
  <c r="F239" i="4"/>
  <c r="A239" i="4"/>
  <c r="G238" i="4"/>
  <c r="F238" i="4"/>
  <c r="A238" i="4"/>
  <c r="G237" i="4"/>
  <c r="F237" i="4"/>
  <c r="A237" i="4"/>
  <c r="G236" i="4"/>
  <c r="F236" i="4"/>
  <c r="A236" i="4"/>
  <c r="G235" i="4"/>
  <c r="F235" i="4"/>
  <c r="A235" i="4"/>
  <c r="G234" i="4"/>
  <c r="F234" i="4"/>
  <c r="A234" i="4"/>
  <c r="G233" i="4"/>
  <c r="F233" i="4"/>
  <c r="A233" i="4"/>
  <c r="G232" i="4"/>
  <c r="F232" i="4"/>
  <c r="A232" i="4"/>
  <c r="G231" i="4"/>
  <c r="F231" i="4"/>
  <c r="A231" i="4"/>
  <c r="G230" i="4"/>
  <c r="F230" i="4"/>
  <c r="A230" i="4"/>
  <c r="G229" i="4"/>
  <c r="F229" i="4"/>
  <c r="A229" i="4"/>
  <c r="G228" i="4"/>
  <c r="F228" i="4"/>
  <c r="A228" i="4"/>
  <c r="G227" i="4"/>
  <c r="F227" i="4"/>
  <c r="A227" i="4"/>
  <c r="G226" i="4"/>
  <c r="F226" i="4"/>
  <c r="A226" i="4"/>
  <c r="G225" i="4"/>
  <c r="F225" i="4"/>
  <c r="A225" i="4"/>
  <c r="G224" i="4"/>
  <c r="F224" i="4"/>
  <c r="A224" i="4"/>
  <c r="G223" i="4"/>
  <c r="F223" i="4"/>
  <c r="A223" i="4"/>
  <c r="G222" i="4"/>
  <c r="F222" i="4"/>
  <c r="A222" i="4"/>
  <c r="G221" i="4"/>
  <c r="F221" i="4"/>
  <c r="A221" i="4"/>
  <c r="G220" i="4"/>
  <c r="F220" i="4"/>
  <c r="A220" i="4"/>
  <c r="G219" i="4"/>
  <c r="F219" i="4"/>
  <c r="A219" i="4"/>
  <c r="G218" i="4"/>
  <c r="F218" i="4"/>
  <c r="A218" i="4"/>
  <c r="G217" i="4"/>
  <c r="F217" i="4"/>
  <c r="A217" i="4"/>
  <c r="G216" i="4"/>
  <c r="F216" i="4"/>
  <c r="A216" i="4"/>
  <c r="G215" i="4"/>
  <c r="F215" i="4"/>
  <c r="A215" i="4"/>
  <c r="G214" i="4"/>
  <c r="F214" i="4"/>
  <c r="A214" i="4"/>
  <c r="G213" i="4"/>
  <c r="F213" i="4"/>
  <c r="A213" i="4"/>
  <c r="G212" i="4"/>
  <c r="F212" i="4"/>
  <c r="A212" i="4"/>
  <c r="G211" i="4"/>
  <c r="F211" i="4"/>
  <c r="A211" i="4"/>
  <c r="G210" i="4"/>
  <c r="F210" i="4"/>
  <c r="A210" i="4"/>
  <c r="G209" i="4"/>
  <c r="F209" i="4"/>
  <c r="A209" i="4"/>
  <c r="G208" i="4"/>
  <c r="F208" i="4"/>
  <c r="A208" i="4"/>
  <c r="G207" i="4"/>
  <c r="F207" i="4"/>
  <c r="A207" i="4"/>
  <c r="G206" i="4"/>
  <c r="F206" i="4"/>
  <c r="A206" i="4"/>
  <c r="G205" i="4"/>
  <c r="F205" i="4"/>
  <c r="A205" i="4"/>
  <c r="G204" i="4"/>
  <c r="F204" i="4"/>
  <c r="A204" i="4"/>
  <c r="G203" i="4"/>
  <c r="F203" i="4"/>
  <c r="A203" i="4"/>
  <c r="G202" i="4"/>
  <c r="F202" i="4"/>
  <c r="A202" i="4"/>
  <c r="G201" i="4"/>
  <c r="F201" i="4"/>
  <c r="A201" i="4"/>
  <c r="G200" i="4"/>
  <c r="F200" i="4"/>
  <c r="A200" i="4"/>
  <c r="G199" i="4"/>
  <c r="F199" i="4"/>
  <c r="A199" i="4"/>
  <c r="G198" i="4"/>
  <c r="F198" i="4"/>
  <c r="A198" i="4"/>
  <c r="G197" i="4"/>
  <c r="F197" i="4"/>
  <c r="A197" i="4"/>
  <c r="G196" i="4"/>
  <c r="F196" i="4"/>
  <c r="A196" i="4"/>
  <c r="G195" i="4"/>
  <c r="F195" i="4"/>
  <c r="A195" i="4"/>
  <c r="G194" i="4"/>
  <c r="F194" i="4"/>
  <c r="A194" i="4"/>
  <c r="G193" i="4"/>
  <c r="F193" i="4"/>
  <c r="A193" i="4"/>
  <c r="G192" i="4"/>
  <c r="F192" i="4"/>
  <c r="A192" i="4"/>
  <c r="G191" i="4"/>
  <c r="F191" i="4"/>
  <c r="A191" i="4"/>
  <c r="G190" i="4"/>
  <c r="F190" i="4"/>
  <c r="A190" i="4"/>
  <c r="G189" i="4"/>
  <c r="F189" i="4"/>
  <c r="A189" i="4"/>
  <c r="G188" i="4"/>
  <c r="F188" i="4"/>
  <c r="A188" i="4"/>
  <c r="G187" i="4"/>
  <c r="F187" i="4"/>
  <c r="A187" i="4"/>
  <c r="G186" i="4"/>
  <c r="F186" i="4"/>
  <c r="A186" i="4"/>
  <c r="G185" i="4"/>
  <c r="F185" i="4"/>
  <c r="A185" i="4"/>
  <c r="G184" i="4"/>
  <c r="F184" i="4"/>
  <c r="A184" i="4"/>
  <c r="G183" i="4"/>
  <c r="F183" i="4"/>
  <c r="A183" i="4"/>
  <c r="G182" i="4"/>
  <c r="F182" i="4"/>
  <c r="A182" i="4"/>
  <c r="G181" i="4"/>
  <c r="F181" i="4"/>
  <c r="A181" i="4"/>
  <c r="G180" i="4"/>
  <c r="F180" i="4"/>
  <c r="A180" i="4"/>
  <c r="G179" i="4"/>
  <c r="F179" i="4"/>
  <c r="A179" i="4"/>
  <c r="G178" i="4"/>
  <c r="F178" i="4"/>
  <c r="A178" i="4"/>
  <c r="G177" i="4"/>
  <c r="F177" i="4"/>
  <c r="A177" i="4"/>
  <c r="G176" i="4"/>
  <c r="F176" i="4"/>
  <c r="A176" i="4"/>
  <c r="G175" i="4"/>
  <c r="F175" i="4"/>
  <c r="A175" i="4"/>
  <c r="G174" i="4"/>
  <c r="F174" i="4"/>
  <c r="A174" i="4"/>
  <c r="G173" i="4"/>
  <c r="F173" i="4"/>
  <c r="A173" i="4"/>
  <c r="G172" i="4"/>
  <c r="F172" i="4"/>
  <c r="A172" i="4"/>
  <c r="G171" i="4"/>
  <c r="F171" i="4"/>
  <c r="A171" i="4"/>
  <c r="G170" i="4"/>
  <c r="F170" i="4"/>
  <c r="A170" i="4"/>
  <c r="G169" i="4"/>
  <c r="F169" i="4"/>
  <c r="A169" i="4"/>
  <c r="G168" i="4"/>
  <c r="F168" i="4"/>
  <c r="A168" i="4"/>
  <c r="G167" i="4"/>
  <c r="F167" i="4"/>
  <c r="A167" i="4"/>
  <c r="G166" i="4"/>
  <c r="F166" i="4"/>
  <c r="A166" i="4"/>
  <c r="G165" i="4"/>
  <c r="F165" i="4"/>
  <c r="A165" i="4"/>
  <c r="G164" i="4"/>
  <c r="F164" i="4"/>
  <c r="A164" i="4"/>
  <c r="G163" i="4"/>
  <c r="F163" i="4"/>
  <c r="A163" i="4"/>
  <c r="G162" i="4"/>
  <c r="F162" i="4"/>
  <c r="A162" i="4"/>
  <c r="G161" i="4"/>
  <c r="F161" i="4"/>
  <c r="A161" i="4"/>
  <c r="G160" i="4"/>
  <c r="F160" i="4"/>
  <c r="A160" i="4"/>
  <c r="G159" i="4"/>
  <c r="F159" i="4"/>
  <c r="A159" i="4"/>
  <c r="G158" i="4"/>
  <c r="F158" i="4"/>
  <c r="A158" i="4"/>
  <c r="G157" i="4"/>
  <c r="F157" i="4"/>
  <c r="A157" i="4"/>
  <c r="G156" i="4"/>
  <c r="F156" i="4"/>
  <c r="A156" i="4"/>
  <c r="G155" i="4"/>
  <c r="F155" i="4"/>
  <c r="A155" i="4"/>
  <c r="G154" i="4"/>
  <c r="F154" i="4"/>
  <c r="A154" i="4"/>
  <c r="G153" i="4"/>
  <c r="F153" i="4"/>
  <c r="A153" i="4"/>
  <c r="G152" i="4"/>
  <c r="F152" i="4"/>
  <c r="A152" i="4"/>
  <c r="G151" i="4"/>
  <c r="F151" i="4"/>
  <c r="A151" i="4"/>
  <c r="G150" i="4"/>
  <c r="F150" i="4"/>
  <c r="A150" i="4"/>
  <c r="G149" i="4"/>
  <c r="F149" i="4"/>
  <c r="A149" i="4"/>
  <c r="G148" i="4"/>
  <c r="F148" i="4"/>
  <c r="A148" i="4"/>
  <c r="G147" i="4"/>
  <c r="F147" i="4"/>
  <c r="A147" i="4"/>
  <c r="G146" i="4"/>
  <c r="F146" i="4"/>
  <c r="A146" i="4"/>
  <c r="G145" i="4"/>
  <c r="F145" i="4"/>
  <c r="A145" i="4"/>
  <c r="G144" i="4"/>
  <c r="F144" i="4"/>
  <c r="A144" i="4"/>
  <c r="G143" i="4"/>
  <c r="F143" i="4"/>
  <c r="A143" i="4"/>
  <c r="G142" i="4"/>
  <c r="F142" i="4"/>
  <c r="A142" i="4"/>
  <c r="G141" i="4"/>
  <c r="F141" i="4"/>
  <c r="A141" i="4"/>
  <c r="G140" i="4"/>
  <c r="F140" i="4"/>
  <c r="A140" i="4"/>
  <c r="G139" i="4"/>
  <c r="F139" i="4"/>
  <c r="A139" i="4"/>
  <c r="G138" i="4"/>
  <c r="F138" i="4"/>
  <c r="A138" i="4"/>
  <c r="G137" i="4"/>
  <c r="F137" i="4"/>
  <c r="A137" i="4"/>
  <c r="G136" i="4"/>
  <c r="F136" i="4"/>
  <c r="A136" i="4"/>
  <c r="G135" i="4"/>
  <c r="F135" i="4"/>
  <c r="A135" i="4"/>
  <c r="G134" i="4"/>
  <c r="F134" i="4"/>
  <c r="A134" i="4"/>
  <c r="G133" i="4"/>
  <c r="F133" i="4"/>
  <c r="A133" i="4"/>
  <c r="G132" i="4"/>
  <c r="F132" i="4"/>
  <c r="A132" i="4"/>
  <c r="G131" i="4"/>
  <c r="F131" i="4"/>
  <c r="A131" i="4"/>
  <c r="G130" i="4"/>
  <c r="F130" i="4"/>
  <c r="A130" i="4"/>
  <c r="G129" i="4"/>
  <c r="F129" i="4"/>
  <c r="A129" i="4"/>
  <c r="G128" i="4"/>
  <c r="F128" i="4"/>
  <c r="A128" i="4"/>
  <c r="G127" i="4"/>
  <c r="F127" i="4"/>
  <c r="A127" i="4"/>
  <c r="G126" i="4"/>
  <c r="F126" i="4"/>
  <c r="A126" i="4"/>
  <c r="G125" i="4"/>
  <c r="F125" i="4"/>
  <c r="A125" i="4"/>
  <c r="G124" i="4"/>
  <c r="F124" i="4"/>
  <c r="A124" i="4"/>
  <c r="G123" i="4"/>
  <c r="F123" i="4"/>
  <c r="A123" i="4"/>
  <c r="G122" i="4"/>
  <c r="F122" i="4"/>
  <c r="A122" i="4"/>
  <c r="G121" i="4"/>
  <c r="F121" i="4"/>
  <c r="A121" i="4"/>
  <c r="G120" i="4"/>
  <c r="F120" i="4"/>
  <c r="A120" i="4"/>
  <c r="G119" i="4"/>
  <c r="F119" i="4"/>
  <c r="A119" i="4"/>
  <c r="G118" i="4"/>
  <c r="F118" i="4"/>
  <c r="A118" i="4"/>
  <c r="G117" i="4"/>
  <c r="F117" i="4"/>
  <c r="A117" i="4"/>
  <c r="G116" i="4"/>
  <c r="F116" i="4"/>
  <c r="A116" i="4"/>
  <c r="G115" i="4"/>
  <c r="F115" i="4"/>
  <c r="A115" i="4"/>
  <c r="G114" i="4"/>
  <c r="F114" i="4"/>
  <c r="A114" i="4"/>
  <c r="G113" i="4"/>
  <c r="F113" i="4"/>
  <c r="A113" i="4"/>
  <c r="G112" i="4"/>
  <c r="F112" i="4"/>
  <c r="A112" i="4"/>
  <c r="G111" i="4"/>
  <c r="F111" i="4"/>
  <c r="A111" i="4"/>
  <c r="G110" i="4"/>
  <c r="F110" i="4"/>
  <c r="A110" i="4"/>
  <c r="G109" i="4"/>
  <c r="F109" i="4"/>
  <c r="A109" i="4"/>
  <c r="G108" i="4"/>
  <c r="F108" i="4"/>
  <c r="A108" i="4"/>
  <c r="G107" i="4"/>
  <c r="F107" i="4"/>
  <c r="A107" i="4"/>
  <c r="G106" i="4"/>
  <c r="F106" i="4"/>
  <c r="A106" i="4"/>
  <c r="G105" i="4"/>
  <c r="F105" i="4"/>
  <c r="A105" i="4"/>
  <c r="G104" i="4"/>
  <c r="F104" i="4"/>
  <c r="A104" i="4"/>
  <c r="G103" i="4"/>
  <c r="F103" i="4"/>
  <c r="A103" i="4"/>
  <c r="G102" i="4"/>
  <c r="F102" i="4"/>
  <c r="A102" i="4"/>
  <c r="G101" i="4"/>
  <c r="F101" i="4"/>
  <c r="A101" i="4"/>
  <c r="G100" i="4"/>
  <c r="F100" i="4"/>
  <c r="A100" i="4"/>
  <c r="G99" i="4"/>
  <c r="F99" i="4"/>
  <c r="A99" i="4"/>
  <c r="G98" i="4"/>
  <c r="F98" i="4"/>
  <c r="A98" i="4"/>
  <c r="G97" i="4"/>
  <c r="F97" i="4"/>
  <c r="A97" i="4"/>
  <c r="G96" i="4"/>
  <c r="F96" i="4"/>
  <c r="A96" i="4"/>
  <c r="G95" i="4"/>
  <c r="F95" i="4"/>
  <c r="A95" i="4"/>
  <c r="G94" i="4"/>
  <c r="F94" i="4"/>
  <c r="A94" i="4"/>
  <c r="G93" i="4"/>
  <c r="F93" i="4"/>
  <c r="A93" i="4"/>
  <c r="G92" i="4"/>
  <c r="F92" i="4"/>
  <c r="A92" i="4"/>
  <c r="G91" i="4"/>
  <c r="F91" i="4"/>
  <c r="A91" i="4"/>
  <c r="G90" i="4"/>
  <c r="F90" i="4"/>
  <c r="A90" i="4"/>
  <c r="G89" i="4"/>
  <c r="F89" i="4"/>
  <c r="A89" i="4"/>
  <c r="G88" i="4"/>
  <c r="F88" i="4"/>
  <c r="A88" i="4"/>
  <c r="G87" i="4"/>
  <c r="F87" i="4"/>
  <c r="A87" i="4"/>
  <c r="G86" i="4"/>
  <c r="F86" i="4"/>
  <c r="A86" i="4"/>
  <c r="G85" i="4"/>
  <c r="F85" i="4"/>
  <c r="A85" i="4"/>
  <c r="G84" i="4"/>
  <c r="F84" i="4"/>
  <c r="A84" i="4"/>
  <c r="G83" i="4"/>
  <c r="F83" i="4"/>
  <c r="A83" i="4"/>
  <c r="G82" i="4"/>
  <c r="F82" i="4"/>
  <c r="A82" i="4"/>
  <c r="G81" i="4"/>
  <c r="F81" i="4"/>
  <c r="A81" i="4"/>
  <c r="G80" i="4"/>
  <c r="F80" i="4"/>
  <c r="A80" i="4"/>
  <c r="G79" i="4"/>
  <c r="F79" i="4"/>
  <c r="A79" i="4"/>
  <c r="G78" i="4"/>
  <c r="F78" i="4"/>
  <c r="A78" i="4"/>
  <c r="G77" i="4"/>
  <c r="F77" i="4"/>
  <c r="A77" i="4"/>
  <c r="G76" i="4"/>
  <c r="F76" i="4"/>
  <c r="A76" i="4"/>
  <c r="G75" i="4"/>
  <c r="F75" i="4"/>
  <c r="A75" i="4"/>
  <c r="G74" i="4"/>
  <c r="F74" i="4"/>
  <c r="A74" i="4"/>
  <c r="G73" i="4"/>
  <c r="F73" i="4"/>
  <c r="A73" i="4"/>
  <c r="G72" i="4"/>
  <c r="F72" i="4"/>
  <c r="A72" i="4"/>
  <c r="G71" i="4"/>
  <c r="F71" i="4"/>
  <c r="A71" i="4"/>
  <c r="G70" i="4"/>
  <c r="F70" i="4"/>
  <c r="A70" i="4"/>
  <c r="G69" i="4"/>
  <c r="F69" i="4"/>
  <c r="A69" i="4"/>
  <c r="G68" i="4"/>
  <c r="F68" i="4"/>
  <c r="A68" i="4"/>
  <c r="G67" i="4"/>
  <c r="F67" i="4"/>
  <c r="A67" i="4"/>
  <c r="G66" i="4"/>
  <c r="F66" i="4"/>
  <c r="A66" i="4"/>
  <c r="G65" i="4"/>
  <c r="F65" i="4"/>
  <c r="A65" i="4"/>
  <c r="G64" i="4"/>
  <c r="F64" i="4"/>
  <c r="A64" i="4"/>
  <c r="G63" i="4"/>
  <c r="F63" i="4"/>
  <c r="A63" i="4"/>
  <c r="G62" i="4"/>
  <c r="F62" i="4"/>
  <c r="A62" i="4"/>
  <c r="G61" i="4"/>
  <c r="F61" i="4"/>
  <c r="A61" i="4"/>
  <c r="G60" i="4"/>
  <c r="F60" i="4"/>
  <c r="A60" i="4"/>
  <c r="G59" i="4"/>
  <c r="F59" i="4"/>
  <c r="A59" i="4"/>
  <c r="G58" i="4"/>
  <c r="F58" i="4"/>
  <c r="A58" i="4"/>
  <c r="G57" i="4"/>
  <c r="F57" i="4"/>
  <c r="A57" i="4"/>
  <c r="G56" i="4"/>
  <c r="F56" i="4"/>
  <c r="A56" i="4"/>
  <c r="G55" i="4"/>
  <c r="F55" i="4"/>
  <c r="A55" i="4"/>
  <c r="G54" i="4"/>
  <c r="F54" i="4"/>
  <c r="A54" i="4"/>
  <c r="G53" i="4"/>
  <c r="F53" i="4"/>
  <c r="A53" i="4"/>
  <c r="G52" i="4"/>
  <c r="F52" i="4"/>
  <c r="A52" i="4"/>
  <c r="G51" i="4"/>
  <c r="F51" i="4"/>
  <c r="A51" i="4"/>
  <c r="G50" i="4"/>
  <c r="F50" i="4"/>
  <c r="A50" i="4"/>
  <c r="G49" i="4"/>
  <c r="F49" i="4"/>
  <c r="A49" i="4"/>
  <c r="G48" i="4"/>
  <c r="F48" i="4"/>
  <c r="A48" i="4"/>
  <c r="G47" i="4"/>
  <c r="F47" i="4"/>
  <c r="A47" i="4"/>
  <c r="G46" i="4"/>
  <c r="F46" i="4"/>
  <c r="A46" i="4"/>
  <c r="G45" i="4"/>
  <c r="F45" i="4"/>
  <c r="A45" i="4"/>
  <c r="G44" i="4"/>
  <c r="F44" i="4"/>
  <c r="A44" i="4"/>
  <c r="G43" i="4"/>
  <c r="F43" i="4"/>
  <c r="A43" i="4"/>
  <c r="G42" i="4"/>
  <c r="F42" i="4"/>
  <c r="A42" i="4"/>
  <c r="G41" i="4"/>
  <c r="F41" i="4"/>
  <c r="A41" i="4"/>
  <c r="G40" i="4"/>
  <c r="F40" i="4"/>
  <c r="A40" i="4"/>
  <c r="G39" i="4"/>
  <c r="F39" i="4"/>
  <c r="A39" i="4"/>
  <c r="G38" i="4"/>
  <c r="F38" i="4"/>
  <c r="A38" i="4"/>
  <c r="G37" i="4"/>
  <c r="F37" i="4"/>
  <c r="A37" i="4"/>
  <c r="G36" i="4"/>
  <c r="F36" i="4"/>
  <c r="A36" i="4"/>
  <c r="G35" i="4"/>
  <c r="F35" i="4"/>
  <c r="A35" i="4"/>
  <c r="G34" i="4"/>
  <c r="F34" i="4"/>
  <c r="A34" i="4"/>
  <c r="G33" i="4"/>
  <c r="F33" i="4"/>
  <c r="A33" i="4"/>
  <c r="G32" i="4"/>
  <c r="F32" i="4"/>
  <c r="A32" i="4"/>
  <c r="G31" i="4"/>
  <c r="F31" i="4"/>
  <c r="A31" i="4"/>
  <c r="G30" i="4"/>
  <c r="F30" i="4"/>
  <c r="A30" i="4"/>
  <c r="G29" i="4"/>
  <c r="F29" i="4"/>
  <c r="A29" i="4"/>
  <c r="G28" i="4"/>
  <c r="F28" i="4"/>
  <c r="A28" i="4"/>
  <c r="G27" i="4"/>
  <c r="F27" i="4"/>
  <c r="A27" i="4"/>
  <c r="G26" i="4"/>
  <c r="F26" i="4"/>
  <c r="A26" i="4"/>
  <c r="G25" i="4"/>
  <c r="F25" i="4"/>
  <c r="A25" i="4"/>
  <c r="G24" i="4"/>
  <c r="F24" i="4"/>
  <c r="A24" i="4"/>
  <c r="G23" i="4"/>
  <c r="F23" i="4"/>
  <c r="A23" i="4"/>
  <c r="G22" i="4"/>
  <c r="F22" i="4"/>
  <c r="A22" i="4"/>
  <c r="G21" i="4"/>
  <c r="F21" i="4"/>
  <c r="A21" i="4"/>
  <c r="G20" i="4"/>
  <c r="F20" i="4"/>
  <c r="A20" i="4"/>
  <c r="G19" i="4"/>
  <c r="F19" i="4"/>
  <c r="A19" i="4"/>
  <c r="G18" i="4"/>
  <c r="F18" i="4"/>
  <c r="A18" i="4"/>
  <c r="G17" i="4"/>
  <c r="F17" i="4"/>
  <c r="A17" i="4"/>
  <c r="G16" i="4"/>
  <c r="F16" i="4"/>
  <c r="A16" i="4"/>
  <c r="G15" i="4"/>
  <c r="F15" i="4"/>
  <c r="A15" i="4"/>
  <c r="G14" i="4"/>
  <c r="F14" i="4"/>
  <c r="A14" i="4"/>
  <c r="G13" i="4"/>
  <c r="F13" i="4"/>
  <c r="A13" i="4"/>
  <c r="G12" i="4"/>
  <c r="F12" i="4"/>
  <c r="A12" i="4"/>
  <c r="G11" i="4"/>
  <c r="F11" i="4"/>
  <c r="A11" i="4"/>
  <c r="G10" i="4"/>
  <c r="F10" i="4"/>
  <c r="A10" i="4"/>
  <c r="G9" i="4"/>
  <c r="F9" i="4"/>
  <c r="A9" i="4"/>
  <c r="G8" i="4"/>
  <c r="F8" i="4"/>
  <c r="A8" i="4"/>
  <c r="G7" i="4"/>
  <c r="F7" i="4"/>
  <c r="A7" i="4"/>
  <c r="G6" i="4"/>
  <c r="F6" i="4"/>
  <c r="A6" i="4"/>
  <c r="G5" i="4"/>
  <c r="F5" i="4"/>
  <c r="A5" i="4"/>
  <c r="G4" i="4"/>
  <c r="F4" i="4"/>
  <c r="A4" i="4"/>
  <c r="G3" i="4"/>
  <c r="F3" i="4"/>
  <c r="A3" i="4"/>
  <c r="G2" i="4"/>
  <c r="F2" i="4"/>
  <c r="A2" i="4"/>
</calcChain>
</file>

<file path=xl/sharedStrings.xml><?xml version="1.0" encoding="utf-8"?>
<sst xmlns="http://schemas.openxmlformats.org/spreadsheetml/2006/main" count="176" uniqueCount="67">
  <si>
    <t>month_reg</t>
  </si>
  <si>
    <t>count_users</t>
  </si>
  <si>
    <t>month</t>
  </si>
  <si>
    <t>avg_time_session</t>
  </si>
  <si>
    <t>agg_seconds</t>
  </si>
  <si>
    <t>0 years 0 mons 0 days 2 hours 13 mins 7.769315 secs</t>
  </si>
  <si>
    <t>0 years 0 mons 0 days 2 hours 19 mins 22.917398 secs</t>
  </si>
  <si>
    <t>0 years 0 mons 0 days 2 hours 16 mins 33.93586 secs</t>
  </si>
  <si>
    <t>0 years 0 mons 0 days 2 hours 22 mins 17.412935 secs</t>
  </si>
  <si>
    <t>0 years 0 mons 0 days 2 hours 30 mins 58.850758 secs</t>
  </si>
  <si>
    <t>0 years 0 mons 0 days 2 hours 43 mins 52.254902 secs</t>
  </si>
  <si>
    <t>0 years 0 mons 0 days 2 hours 23 mins 59.560563 secs</t>
  </si>
  <si>
    <t>0 years 0 mons 0 days 2 hours 17 mins 22.354878 secs</t>
  </si>
  <si>
    <t>0 years 0 mons 0 days 5 hours 32 mins 9.519898 secs</t>
  </si>
  <si>
    <t>0 years 0 mons 0 days 2 hours 20 mins 3.755782 secs</t>
  </si>
  <si>
    <t>week</t>
  </si>
  <si>
    <t>day</t>
  </si>
  <si>
    <t>DAU</t>
  </si>
  <si>
    <t>WAU</t>
  </si>
  <si>
    <t>MAU</t>
  </si>
  <si>
    <t>SF (week)</t>
  </si>
  <si>
    <t>SF (month)</t>
  </si>
  <si>
    <t>type</t>
  </si>
  <si>
    <t>revenue</t>
  </si>
  <si>
    <t>Ammo</t>
  </si>
  <si>
    <t>Сумма по полю revenue</t>
  </si>
  <si>
    <t>Названия столбцов</t>
  </si>
  <si>
    <t>Названия строк</t>
  </si>
  <si>
    <t>Currency</t>
  </si>
  <si>
    <t>Materials</t>
  </si>
  <si>
    <t>Transport</t>
  </si>
  <si>
    <t>Weapon</t>
  </si>
  <si>
    <t>Общий итог</t>
  </si>
  <si>
    <t>2022</t>
  </si>
  <si>
    <t>июл</t>
  </si>
  <si>
    <t>авг</t>
  </si>
  <si>
    <t>сен</t>
  </si>
  <si>
    <t>окт</t>
  </si>
  <si>
    <t>ноя</t>
  </si>
  <si>
    <t>дек</t>
  </si>
  <si>
    <t>2023</t>
  </si>
  <si>
    <t>янв</t>
  </si>
  <si>
    <t>фев</t>
  </si>
  <si>
    <t>мар</t>
  </si>
  <si>
    <t>апр</t>
  </si>
  <si>
    <t>Среднее количество приобретаемых кристаллов</t>
  </si>
  <si>
    <t>Выручка</t>
  </si>
  <si>
    <t>07.2022</t>
  </si>
  <si>
    <t>08.2022</t>
  </si>
  <si>
    <t>09.2022</t>
  </si>
  <si>
    <t>10.2022</t>
  </si>
  <si>
    <t>11.2022</t>
  </si>
  <si>
    <t>12.2022</t>
  </si>
  <si>
    <t>01.2023</t>
  </si>
  <si>
    <t>02.2023</t>
  </si>
  <si>
    <t>03.2023</t>
  </si>
  <si>
    <t>04.2023</t>
  </si>
  <si>
    <t>Когорта</t>
  </si>
  <si>
    <t>Средняя выручка на одного человека за все время</t>
  </si>
  <si>
    <t>interval</t>
  </si>
  <si>
    <t>Средняя выручка на одного человека за месяц</t>
  </si>
  <si>
    <t>Месяц</t>
  </si>
  <si>
    <t>LMAU</t>
  </si>
  <si>
    <t>месяц</t>
  </si>
  <si>
    <t>id_user</t>
  </si>
  <si>
    <t>ltr_month</t>
  </si>
  <si>
    <t>lt_month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</si>
</sst>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2" fillId="0" borderId="0" xfId="1" applyAlignment="1">
      <alignment horizontal="center"/>
    </xf>
    <xf numFmtId="0" fontId="2" fillId="0" borderId="0" xfId="1"/>
    <xf numFmtId="14" fontId="2" fillId="0" borderId="0" xfId="1" applyNumberFormat="1" applyAlignment="1">
      <alignment horizontal="center"/>
    </xf>
    <xf numFmtId="2" fontId="2" fillId="0" borderId="0" xfId="1" applyNumberFormat="1" applyAlignment="1">
      <alignment horizontal="center"/>
    </xf>
    <xf numFmtId="164" fontId="2" fillId="0" borderId="0" xfId="1" applyNumberFormat="1" applyAlignment="1">
      <alignment horizontal="center"/>
    </xf>
    <xf numFmtId="0" fontId="1" fillId="0" borderId="0" xfId="1" applyFont="1"/>
    <xf numFmtId="0" fontId="2" fillId="0" borderId="0" xfId="1" applyFill="1"/>
    <xf numFmtId="0" fontId="1" fillId="0" borderId="0" xfId="1" applyFont="1" applyFill="1"/>
    <xf numFmtId="22" fontId="2" fillId="0" borderId="0" xfId="1" applyNumberFormat="1"/>
    <xf numFmtId="0" fontId="2" fillId="0" borderId="0" xfId="1" applyAlignment="1">
      <alignment horizontal="left"/>
    </xf>
    <xf numFmtId="22" fontId="2" fillId="0" borderId="0" xfId="1" applyNumberFormat="1" applyAlignment="1">
      <alignment horizontal="left" indent="1"/>
    </xf>
    <xf numFmtId="0" fontId="2" fillId="0" borderId="0" xfId="1" applyAlignment="1">
      <alignment horizontal="center" vertical="center" wrapText="1"/>
    </xf>
    <xf numFmtId="49" fontId="2" fillId="0" borderId="0" xfId="1" applyNumberFormat="1" applyAlignment="1">
      <alignment horizontal="center"/>
    </xf>
    <xf numFmtId="0" fontId="2" fillId="0" borderId="0" xfId="1" applyAlignment="1">
      <alignment vertical="center" wrapText="1"/>
    </xf>
  </cellXfs>
  <cellStyles count="2">
    <cellStyle name="Обычный" xfId="0" builtinId="0"/>
    <cellStyle name="Обычный 2" xfId="1" xr:uid="{7C62E836-81F0-44CA-9F48-3806418236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пользовательской базы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'Слайд 2.1'!$B$1</c:f>
              <c:strCache>
                <c:ptCount val="1"/>
                <c:pt idx="0">
                  <c:v>count_users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'Слайд 2.1'!$A$2:$A$10</c:f>
              <c:numCache>
                <c:formatCode>m/d/yyyy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'Слайд 2.1'!$B$2:$B$10</c:f>
              <c:numCache>
                <c:formatCode>General</c:formatCode>
                <c:ptCount val="9"/>
                <c:pt idx="0">
                  <c:v>259</c:v>
                </c:pt>
                <c:pt idx="1">
                  <c:v>235</c:v>
                </c:pt>
                <c:pt idx="2">
                  <c:v>257</c:v>
                </c:pt>
                <c:pt idx="3">
                  <c:v>263</c:v>
                </c:pt>
                <c:pt idx="4">
                  <c:v>255</c:v>
                </c:pt>
                <c:pt idx="5">
                  <c:v>255</c:v>
                </c:pt>
                <c:pt idx="6">
                  <c:v>415</c:v>
                </c:pt>
                <c:pt idx="7">
                  <c:v>458</c:v>
                </c:pt>
                <c:pt idx="8">
                  <c:v>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7-42D4-BEEC-E226AC2EE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262624"/>
        <c:axId val="410263872"/>
      </c:lineChart>
      <c:dateAx>
        <c:axId val="4102626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0263872"/>
        <c:crosses val="autoZero"/>
        <c:auto val="1"/>
        <c:lblOffset val="100"/>
        <c:baseTimeUnit val="months"/>
      </c:dateAx>
      <c:valAx>
        <c:axId val="41026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026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Динамика средней длительности одной игровой сессии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'Слайд 2.2'!$C$1</c:f>
              <c:strCache>
                <c:ptCount val="1"/>
                <c:pt idx="0">
                  <c:v>agg_seconds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'Слайд 2.2'!$A$2:$A$11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'Слайд 2.2'!$C$2:$C$11</c:f>
              <c:numCache>
                <c:formatCode>0.00</c:formatCode>
                <c:ptCount val="10"/>
                <c:pt idx="0">
                  <c:v>2.2188248095756258</c:v>
                </c:pt>
                <c:pt idx="1">
                  <c:v>2.3230326108181991</c:v>
                </c:pt>
                <c:pt idx="2">
                  <c:v>2.2760932944606416</c:v>
                </c:pt>
                <c:pt idx="3">
                  <c:v>2.3715035931453845</c:v>
                </c:pt>
                <c:pt idx="4">
                  <c:v>2.5163474328278799</c:v>
                </c:pt>
                <c:pt idx="5">
                  <c:v>2.731181917211329</c:v>
                </c:pt>
                <c:pt idx="6">
                  <c:v>2.3998779342723009</c:v>
                </c:pt>
                <c:pt idx="7">
                  <c:v>2.2895430218196791</c:v>
                </c:pt>
                <c:pt idx="8">
                  <c:v>5.5359777492511766</c:v>
                </c:pt>
                <c:pt idx="9">
                  <c:v>2.3343766060232296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F-4AB2-875C-F43ECC448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396912"/>
        <c:axId val="1923397328"/>
      </c:lineChart>
      <c:dateAx>
        <c:axId val="1923396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3397328"/>
        <c:crosses val="autoZero"/>
        <c:auto val="1"/>
        <c:lblOffset val="100"/>
        <c:baseTimeUnit val="months"/>
      </c:dateAx>
      <c:valAx>
        <c:axId val="19233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339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</a:t>
            </a:r>
            <a:r>
              <a:rPr lang="en-US"/>
              <a:t>DAU, WAU </a:t>
            </a:r>
            <a:r>
              <a:rPr lang="ru-RU"/>
              <a:t>и </a:t>
            </a:r>
            <a:r>
              <a:rPr lang="en-US"/>
              <a:t>MAU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'Слайд 4'!$C$1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'Слайд 4'!$B$2:$B$304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'Слайд 4'!$C$2:$C$304</c:f>
              <c:numCache>
                <c:formatCode>General</c:formatCode>
                <c:ptCount val="303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32</c:v>
                </c:pt>
                <c:pt idx="13">
                  <c:v>25</c:v>
                </c:pt>
                <c:pt idx="14">
                  <c:v>34</c:v>
                </c:pt>
                <c:pt idx="15">
                  <c:v>39</c:v>
                </c:pt>
                <c:pt idx="16">
                  <c:v>22</c:v>
                </c:pt>
                <c:pt idx="17">
                  <c:v>38</c:v>
                </c:pt>
                <c:pt idx="18">
                  <c:v>34</c:v>
                </c:pt>
                <c:pt idx="19">
                  <c:v>50</c:v>
                </c:pt>
                <c:pt idx="20">
                  <c:v>43</c:v>
                </c:pt>
                <c:pt idx="21">
                  <c:v>43</c:v>
                </c:pt>
                <c:pt idx="22">
                  <c:v>53</c:v>
                </c:pt>
                <c:pt idx="23">
                  <c:v>63</c:v>
                </c:pt>
                <c:pt idx="24">
                  <c:v>48</c:v>
                </c:pt>
                <c:pt idx="25">
                  <c:v>59</c:v>
                </c:pt>
                <c:pt idx="26">
                  <c:v>59</c:v>
                </c:pt>
                <c:pt idx="27">
                  <c:v>61</c:v>
                </c:pt>
                <c:pt idx="28">
                  <c:v>64</c:v>
                </c:pt>
                <c:pt idx="29">
                  <c:v>64</c:v>
                </c:pt>
                <c:pt idx="30">
                  <c:v>52</c:v>
                </c:pt>
                <c:pt idx="31">
                  <c:v>62</c:v>
                </c:pt>
                <c:pt idx="32">
                  <c:v>55</c:v>
                </c:pt>
                <c:pt idx="33">
                  <c:v>60</c:v>
                </c:pt>
                <c:pt idx="34">
                  <c:v>52</c:v>
                </c:pt>
                <c:pt idx="35">
                  <c:v>62</c:v>
                </c:pt>
                <c:pt idx="36">
                  <c:v>59</c:v>
                </c:pt>
                <c:pt idx="37">
                  <c:v>58</c:v>
                </c:pt>
                <c:pt idx="38">
                  <c:v>53</c:v>
                </c:pt>
                <c:pt idx="39">
                  <c:v>55</c:v>
                </c:pt>
                <c:pt idx="40">
                  <c:v>65</c:v>
                </c:pt>
                <c:pt idx="41">
                  <c:v>54</c:v>
                </c:pt>
                <c:pt idx="42">
                  <c:v>74</c:v>
                </c:pt>
                <c:pt idx="43">
                  <c:v>59</c:v>
                </c:pt>
                <c:pt idx="44">
                  <c:v>54</c:v>
                </c:pt>
                <c:pt idx="45">
                  <c:v>68</c:v>
                </c:pt>
                <c:pt idx="46">
                  <c:v>59</c:v>
                </c:pt>
                <c:pt idx="47">
                  <c:v>61</c:v>
                </c:pt>
                <c:pt idx="48">
                  <c:v>58</c:v>
                </c:pt>
                <c:pt idx="49">
                  <c:v>67</c:v>
                </c:pt>
                <c:pt idx="50">
                  <c:v>62</c:v>
                </c:pt>
                <c:pt idx="51">
                  <c:v>53</c:v>
                </c:pt>
                <c:pt idx="52">
                  <c:v>60</c:v>
                </c:pt>
                <c:pt idx="53">
                  <c:v>67</c:v>
                </c:pt>
                <c:pt idx="54">
                  <c:v>67</c:v>
                </c:pt>
                <c:pt idx="55">
                  <c:v>61</c:v>
                </c:pt>
                <c:pt idx="56">
                  <c:v>63</c:v>
                </c:pt>
                <c:pt idx="57">
                  <c:v>61</c:v>
                </c:pt>
                <c:pt idx="58">
                  <c:v>54</c:v>
                </c:pt>
                <c:pt idx="59">
                  <c:v>72</c:v>
                </c:pt>
                <c:pt idx="60">
                  <c:v>54</c:v>
                </c:pt>
                <c:pt idx="61">
                  <c:v>66</c:v>
                </c:pt>
                <c:pt idx="62">
                  <c:v>61</c:v>
                </c:pt>
                <c:pt idx="63">
                  <c:v>58</c:v>
                </c:pt>
                <c:pt idx="64">
                  <c:v>64</c:v>
                </c:pt>
                <c:pt idx="65">
                  <c:v>62</c:v>
                </c:pt>
                <c:pt idx="66">
                  <c:v>46</c:v>
                </c:pt>
                <c:pt idx="67">
                  <c:v>49</c:v>
                </c:pt>
                <c:pt idx="68">
                  <c:v>59</c:v>
                </c:pt>
                <c:pt idx="69">
                  <c:v>60</c:v>
                </c:pt>
                <c:pt idx="70">
                  <c:v>53</c:v>
                </c:pt>
                <c:pt idx="71">
                  <c:v>61</c:v>
                </c:pt>
                <c:pt idx="72">
                  <c:v>58</c:v>
                </c:pt>
                <c:pt idx="73">
                  <c:v>64</c:v>
                </c:pt>
                <c:pt idx="74">
                  <c:v>65</c:v>
                </c:pt>
                <c:pt idx="75">
                  <c:v>74</c:v>
                </c:pt>
                <c:pt idx="76">
                  <c:v>58</c:v>
                </c:pt>
                <c:pt idx="77">
                  <c:v>62</c:v>
                </c:pt>
                <c:pt idx="78">
                  <c:v>69</c:v>
                </c:pt>
                <c:pt idx="79">
                  <c:v>66</c:v>
                </c:pt>
                <c:pt idx="80">
                  <c:v>67</c:v>
                </c:pt>
                <c:pt idx="81">
                  <c:v>71</c:v>
                </c:pt>
                <c:pt idx="82">
                  <c:v>67</c:v>
                </c:pt>
                <c:pt idx="83">
                  <c:v>55</c:v>
                </c:pt>
                <c:pt idx="84">
                  <c:v>58</c:v>
                </c:pt>
                <c:pt idx="85">
                  <c:v>73</c:v>
                </c:pt>
                <c:pt idx="86">
                  <c:v>58</c:v>
                </c:pt>
                <c:pt idx="87">
                  <c:v>76</c:v>
                </c:pt>
                <c:pt idx="88">
                  <c:v>62</c:v>
                </c:pt>
                <c:pt idx="89">
                  <c:v>66</c:v>
                </c:pt>
                <c:pt idx="90">
                  <c:v>59</c:v>
                </c:pt>
                <c:pt idx="91">
                  <c:v>61</c:v>
                </c:pt>
                <c:pt idx="92">
                  <c:v>52</c:v>
                </c:pt>
                <c:pt idx="93">
                  <c:v>69</c:v>
                </c:pt>
                <c:pt idx="94">
                  <c:v>70</c:v>
                </c:pt>
                <c:pt idx="95">
                  <c:v>45</c:v>
                </c:pt>
                <c:pt idx="96">
                  <c:v>77</c:v>
                </c:pt>
                <c:pt idx="97">
                  <c:v>61</c:v>
                </c:pt>
                <c:pt idx="98">
                  <c:v>56</c:v>
                </c:pt>
                <c:pt idx="99">
                  <c:v>66</c:v>
                </c:pt>
                <c:pt idx="100">
                  <c:v>51</c:v>
                </c:pt>
                <c:pt idx="101">
                  <c:v>59</c:v>
                </c:pt>
                <c:pt idx="102">
                  <c:v>65</c:v>
                </c:pt>
                <c:pt idx="103">
                  <c:v>53</c:v>
                </c:pt>
                <c:pt idx="104">
                  <c:v>72</c:v>
                </c:pt>
                <c:pt idx="105">
                  <c:v>62</c:v>
                </c:pt>
                <c:pt idx="106">
                  <c:v>62</c:v>
                </c:pt>
                <c:pt idx="107">
                  <c:v>70</c:v>
                </c:pt>
                <c:pt idx="108">
                  <c:v>62</c:v>
                </c:pt>
                <c:pt idx="109">
                  <c:v>82</c:v>
                </c:pt>
                <c:pt idx="110">
                  <c:v>52</c:v>
                </c:pt>
                <c:pt idx="111">
                  <c:v>65</c:v>
                </c:pt>
                <c:pt idx="112">
                  <c:v>64</c:v>
                </c:pt>
                <c:pt idx="113">
                  <c:v>57</c:v>
                </c:pt>
                <c:pt idx="114">
                  <c:v>58</c:v>
                </c:pt>
                <c:pt idx="115">
                  <c:v>66</c:v>
                </c:pt>
                <c:pt idx="116">
                  <c:v>60</c:v>
                </c:pt>
                <c:pt idx="117">
                  <c:v>55</c:v>
                </c:pt>
                <c:pt idx="118">
                  <c:v>65</c:v>
                </c:pt>
                <c:pt idx="119">
                  <c:v>54</c:v>
                </c:pt>
                <c:pt idx="120">
                  <c:v>66</c:v>
                </c:pt>
                <c:pt idx="121">
                  <c:v>72</c:v>
                </c:pt>
                <c:pt idx="122">
                  <c:v>58</c:v>
                </c:pt>
                <c:pt idx="123">
                  <c:v>55</c:v>
                </c:pt>
                <c:pt idx="124">
                  <c:v>56</c:v>
                </c:pt>
                <c:pt idx="125">
                  <c:v>63</c:v>
                </c:pt>
                <c:pt idx="126">
                  <c:v>69</c:v>
                </c:pt>
                <c:pt idx="127">
                  <c:v>62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55</c:v>
                </c:pt>
                <c:pt idx="132">
                  <c:v>62</c:v>
                </c:pt>
                <c:pt idx="133">
                  <c:v>53</c:v>
                </c:pt>
                <c:pt idx="134">
                  <c:v>54</c:v>
                </c:pt>
                <c:pt idx="135">
                  <c:v>46</c:v>
                </c:pt>
                <c:pt idx="136">
                  <c:v>55</c:v>
                </c:pt>
                <c:pt idx="137">
                  <c:v>51</c:v>
                </c:pt>
                <c:pt idx="138">
                  <c:v>58</c:v>
                </c:pt>
                <c:pt idx="139">
                  <c:v>51</c:v>
                </c:pt>
                <c:pt idx="140">
                  <c:v>40</c:v>
                </c:pt>
                <c:pt idx="141">
                  <c:v>50</c:v>
                </c:pt>
                <c:pt idx="142">
                  <c:v>34</c:v>
                </c:pt>
                <c:pt idx="143">
                  <c:v>41</c:v>
                </c:pt>
                <c:pt idx="144">
                  <c:v>39</c:v>
                </c:pt>
                <c:pt idx="145">
                  <c:v>32</c:v>
                </c:pt>
                <c:pt idx="146">
                  <c:v>32</c:v>
                </c:pt>
                <c:pt idx="147">
                  <c:v>31</c:v>
                </c:pt>
                <c:pt idx="148">
                  <c:v>35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32</c:v>
                </c:pt>
                <c:pt idx="153">
                  <c:v>25</c:v>
                </c:pt>
                <c:pt idx="154">
                  <c:v>19</c:v>
                </c:pt>
                <c:pt idx="155">
                  <c:v>30</c:v>
                </c:pt>
                <c:pt idx="156">
                  <c:v>23</c:v>
                </c:pt>
                <c:pt idx="157">
                  <c:v>32</c:v>
                </c:pt>
                <c:pt idx="158">
                  <c:v>35</c:v>
                </c:pt>
                <c:pt idx="159">
                  <c:v>29</c:v>
                </c:pt>
                <c:pt idx="160">
                  <c:v>36</c:v>
                </c:pt>
                <c:pt idx="161">
                  <c:v>30</c:v>
                </c:pt>
                <c:pt idx="162">
                  <c:v>25</c:v>
                </c:pt>
                <c:pt idx="163">
                  <c:v>31</c:v>
                </c:pt>
                <c:pt idx="164">
                  <c:v>34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20</c:v>
                </c:pt>
                <c:pt idx="170">
                  <c:v>32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36</c:v>
                </c:pt>
                <c:pt idx="175">
                  <c:v>24</c:v>
                </c:pt>
                <c:pt idx="176">
                  <c:v>33</c:v>
                </c:pt>
                <c:pt idx="177">
                  <c:v>26</c:v>
                </c:pt>
                <c:pt idx="178">
                  <c:v>24</c:v>
                </c:pt>
                <c:pt idx="179">
                  <c:v>32</c:v>
                </c:pt>
                <c:pt idx="180">
                  <c:v>29</c:v>
                </c:pt>
                <c:pt idx="181">
                  <c:v>22</c:v>
                </c:pt>
                <c:pt idx="182">
                  <c:v>37</c:v>
                </c:pt>
                <c:pt idx="183">
                  <c:v>24</c:v>
                </c:pt>
                <c:pt idx="184">
                  <c:v>35</c:v>
                </c:pt>
                <c:pt idx="185">
                  <c:v>40</c:v>
                </c:pt>
                <c:pt idx="186">
                  <c:v>46</c:v>
                </c:pt>
                <c:pt idx="187">
                  <c:v>36</c:v>
                </c:pt>
                <c:pt idx="188">
                  <c:v>46</c:v>
                </c:pt>
                <c:pt idx="189">
                  <c:v>35</c:v>
                </c:pt>
                <c:pt idx="190">
                  <c:v>53</c:v>
                </c:pt>
                <c:pt idx="191">
                  <c:v>53</c:v>
                </c:pt>
                <c:pt idx="192">
                  <c:v>52</c:v>
                </c:pt>
                <c:pt idx="193">
                  <c:v>65</c:v>
                </c:pt>
                <c:pt idx="194">
                  <c:v>52</c:v>
                </c:pt>
                <c:pt idx="195">
                  <c:v>62</c:v>
                </c:pt>
                <c:pt idx="196">
                  <c:v>77</c:v>
                </c:pt>
                <c:pt idx="197">
                  <c:v>61</c:v>
                </c:pt>
                <c:pt idx="198">
                  <c:v>70</c:v>
                </c:pt>
                <c:pt idx="199">
                  <c:v>66</c:v>
                </c:pt>
                <c:pt idx="200">
                  <c:v>73</c:v>
                </c:pt>
                <c:pt idx="201">
                  <c:v>73</c:v>
                </c:pt>
                <c:pt idx="202">
                  <c:v>80</c:v>
                </c:pt>
                <c:pt idx="203">
                  <c:v>75</c:v>
                </c:pt>
                <c:pt idx="204">
                  <c:v>90</c:v>
                </c:pt>
                <c:pt idx="205">
                  <c:v>78</c:v>
                </c:pt>
                <c:pt idx="206">
                  <c:v>90</c:v>
                </c:pt>
                <c:pt idx="207">
                  <c:v>88</c:v>
                </c:pt>
                <c:pt idx="208">
                  <c:v>83</c:v>
                </c:pt>
                <c:pt idx="209">
                  <c:v>92</c:v>
                </c:pt>
                <c:pt idx="210">
                  <c:v>99</c:v>
                </c:pt>
                <c:pt idx="211">
                  <c:v>93</c:v>
                </c:pt>
                <c:pt idx="212">
                  <c:v>115</c:v>
                </c:pt>
                <c:pt idx="213">
                  <c:v>108</c:v>
                </c:pt>
                <c:pt idx="214">
                  <c:v>112</c:v>
                </c:pt>
                <c:pt idx="215">
                  <c:v>86</c:v>
                </c:pt>
                <c:pt idx="216">
                  <c:v>98</c:v>
                </c:pt>
                <c:pt idx="217">
                  <c:v>100</c:v>
                </c:pt>
                <c:pt idx="218">
                  <c:v>95</c:v>
                </c:pt>
                <c:pt idx="219">
                  <c:v>98</c:v>
                </c:pt>
                <c:pt idx="220">
                  <c:v>90</c:v>
                </c:pt>
                <c:pt idx="221">
                  <c:v>107</c:v>
                </c:pt>
                <c:pt idx="222">
                  <c:v>101</c:v>
                </c:pt>
                <c:pt idx="223">
                  <c:v>104</c:v>
                </c:pt>
                <c:pt idx="224">
                  <c:v>98</c:v>
                </c:pt>
                <c:pt idx="225">
                  <c:v>101</c:v>
                </c:pt>
                <c:pt idx="226">
                  <c:v>94</c:v>
                </c:pt>
                <c:pt idx="227">
                  <c:v>108</c:v>
                </c:pt>
                <c:pt idx="228">
                  <c:v>103</c:v>
                </c:pt>
                <c:pt idx="229">
                  <c:v>95</c:v>
                </c:pt>
                <c:pt idx="230">
                  <c:v>107</c:v>
                </c:pt>
                <c:pt idx="231">
                  <c:v>116</c:v>
                </c:pt>
                <c:pt idx="232">
                  <c:v>109</c:v>
                </c:pt>
                <c:pt idx="233">
                  <c:v>84</c:v>
                </c:pt>
                <c:pt idx="234">
                  <c:v>98</c:v>
                </c:pt>
                <c:pt idx="235">
                  <c:v>115</c:v>
                </c:pt>
                <c:pt idx="236">
                  <c:v>95</c:v>
                </c:pt>
                <c:pt idx="237">
                  <c:v>106</c:v>
                </c:pt>
                <c:pt idx="238">
                  <c:v>118</c:v>
                </c:pt>
                <c:pt idx="239">
                  <c:v>127</c:v>
                </c:pt>
                <c:pt idx="240">
                  <c:v>104</c:v>
                </c:pt>
                <c:pt idx="241">
                  <c:v>131</c:v>
                </c:pt>
                <c:pt idx="242">
                  <c:v>130</c:v>
                </c:pt>
                <c:pt idx="243">
                  <c:v>138</c:v>
                </c:pt>
                <c:pt idx="244">
                  <c:v>167</c:v>
                </c:pt>
                <c:pt idx="245">
                  <c:v>170</c:v>
                </c:pt>
                <c:pt idx="246">
                  <c:v>165</c:v>
                </c:pt>
                <c:pt idx="247">
                  <c:v>149</c:v>
                </c:pt>
                <c:pt idx="248">
                  <c:v>151</c:v>
                </c:pt>
                <c:pt idx="249">
                  <c:v>173</c:v>
                </c:pt>
                <c:pt idx="250">
                  <c:v>150</c:v>
                </c:pt>
                <c:pt idx="251">
                  <c:v>162</c:v>
                </c:pt>
                <c:pt idx="252">
                  <c:v>175</c:v>
                </c:pt>
                <c:pt idx="253">
                  <c:v>176</c:v>
                </c:pt>
                <c:pt idx="254">
                  <c:v>180</c:v>
                </c:pt>
                <c:pt idx="255">
                  <c:v>168</c:v>
                </c:pt>
                <c:pt idx="256">
                  <c:v>185</c:v>
                </c:pt>
                <c:pt idx="257">
                  <c:v>181</c:v>
                </c:pt>
                <c:pt idx="258">
                  <c:v>172</c:v>
                </c:pt>
                <c:pt idx="259">
                  <c:v>187</c:v>
                </c:pt>
                <c:pt idx="260">
                  <c:v>218</c:v>
                </c:pt>
                <c:pt idx="261">
                  <c:v>184</c:v>
                </c:pt>
                <c:pt idx="262">
                  <c:v>194</c:v>
                </c:pt>
                <c:pt idx="263">
                  <c:v>131</c:v>
                </c:pt>
                <c:pt idx="264">
                  <c:v>176</c:v>
                </c:pt>
                <c:pt idx="265">
                  <c:v>136</c:v>
                </c:pt>
                <c:pt idx="266">
                  <c:v>153</c:v>
                </c:pt>
                <c:pt idx="267">
                  <c:v>159</c:v>
                </c:pt>
                <c:pt idx="268">
                  <c:v>143</c:v>
                </c:pt>
                <c:pt idx="269">
                  <c:v>156</c:v>
                </c:pt>
                <c:pt idx="270">
                  <c:v>151</c:v>
                </c:pt>
                <c:pt idx="271">
                  <c:v>148</c:v>
                </c:pt>
                <c:pt idx="272">
                  <c:v>184</c:v>
                </c:pt>
                <c:pt idx="273">
                  <c:v>204</c:v>
                </c:pt>
                <c:pt idx="274">
                  <c:v>215</c:v>
                </c:pt>
                <c:pt idx="275">
                  <c:v>198</c:v>
                </c:pt>
                <c:pt idx="276">
                  <c:v>199</c:v>
                </c:pt>
                <c:pt idx="277">
                  <c:v>188</c:v>
                </c:pt>
                <c:pt idx="278">
                  <c:v>197</c:v>
                </c:pt>
                <c:pt idx="279">
                  <c:v>192</c:v>
                </c:pt>
                <c:pt idx="280">
                  <c:v>200</c:v>
                </c:pt>
                <c:pt idx="281">
                  <c:v>192</c:v>
                </c:pt>
                <c:pt idx="282">
                  <c:v>172</c:v>
                </c:pt>
                <c:pt idx="283">
                  <c:v>160</c:v>
                </c:pt>
                <c:pt idx="284">
                  <c:v>168</c:v>
                </c:pt>
                <c:pt idx="285">
                  <c:v>171</c:v>
                </c:pt>
                <c:pt idx="286">
                  <c:v>154</c:v>
                </c:pt>
                <c:pt idx="287">
                  <c:v>146</c:v>
                </c:pt>
                <c:pt idx="288">
                  <c:v>166</c:v>
                </c:pt>
                <c:pt idx="289">
                  <c:v>134</c:v>
                </c:pt>
                <c:pt idx="290">
                  <c:v>149</c:v>
                </c:pt>
                <c:pt idx="291">
                  <c:v>132</c:v>
                </c:pt>
                <c:pt idx="292">
                  <c:v>131</c:v>
                </c:pt>
                <c:pt idx="293">
                  <c:v>104</c:v>
                </c:pt>
                <c:pt idx="294">
                  <c:v>105</c:v>
                </c:pt>
                <c:pt idx="295">
                  <c:v>105</c:v>
                </c:pt>
                <c:pt idx="296">
                  <c:v>90</c:v>
                </c:pt>
                <c:pt idx="297">
                  <c:v>101</c:v>
                </c:pt>
                <c:pt idx="298">
                  <c:v>92</c:v>
                </c:pt>
                <c:pt idx="299">
                  <c:v>68</c:v>
                </c:pt>
                <c:pt idx="300">
                  <c:v>75</c:v>
                </c:pt>
                <c:pt idx="301">
                  <c:v>73</c:v>
                </c:pt>
                <c:pt idx="30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0D-44BF-9434-A9EC837B6B99}"/>
            </c:ext>
          </c:extLst>
        </c:ser>
        <c:ser>
          <c:idx val="1"/>
          <c:order val="1"/>
          <c:tx>
            <c:strRef>
              <c:f>'Слайд 4'!$D$1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'Слайд 4'!$B$2:$B$304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'Слайд 4'!$D$2:$D$304</c:f>
              <c:numCache>
                <c:formatCode>General</c:formatCode>
                <c:ptCount val="303"/>
                <c:pt idx="0">
                  <c:v>6</c:v>
                </c:pt>
                <c:pt idx="1">
                  <c:v>6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133</c:v>
                </c:pt>
                <c:pt idx="22">
                  <c:v>133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202</c:v>
                </c:pt>
                <c:pt idx="31">
                  <c:v>202</c:v>
                </c:pt>
                <c:pt idx="32">
                  <c:v>202</c:v>
                </c:pt>
                <c:pt idx="33">
                  <c:v>202</c:v>
                </c:pt>
                <c:pt idx="34">
                  <c:v>202</c:v>
                </c:pt>
                <c:pt idx="35">
                  <c:v>202</c:v>
                </c:pt>
                <c:pt idx="36">
                  <c:v>202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193</c:v>
                </c:pt>
                <c:pt idx="43">
                  <c:v>193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206</c:v>
                </c:pt>
                <c:pt idx="52">
                  <c:v>206</c:v>
                </c:pt>
                <c:pt idx="53">
                  <c:v>206</c:v>
                </c:pt>
                <c:pt idx="54">
                  <c:v>206</c:v>
                </c:pt>
                <c:pt idx="55">
                  <c:v>206</c:v>
                </c:pt>
                <c:pt idx="56">
                  <c:v>206</c:v>
                </c:pt>
                <c:pt idx="57">
                  <c:v>206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192</c:v>
                </c:pt>
                <c:pt idx="64">
                  <c:v>192</c:v>
                </c:pt>
                <c:pt idx="65">
                  <c:v>196</c:v>
                </c:pt>
                <c:pt idx="66">
                  <c:v>196</c:v>
                </c:pt>
                <c:pt idx="67">
                  <c:v>196</c:v>
                </c:pt>
                <c:pt idx="68">
                  <c:v>196</c:v>
                </c:pt>
                <c:pt idx="69">
                  <c:v>196</c:v>
                </c:pt>
                <c:pt idx="70">
                  <c:v>196</c:v>
                </c:pt>
                <c:pt idx="71">
                  <c:v>196</c:v>
                </c:pt>
                <c:pt idx="72">
                  <c:v>205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205</c:v>
                </c:pt>
                <c:pt idx="78">
                  <c:v>205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213</c:v>
                </c:pt>
                <c:pt idx="85">
                  <c:v>213</c:v>
                </c:pt>
                <c:pt idx="86">
                  <c:v>208</c:v>
                </c:pt>
                <c:pt idx="87">
                  <c:v>208</c:v>
                </c:pt>
                <c:pt idx="88">
                  <c:v>208</c:v>
                </c:pt>
                <c:pt idx="89">
                  <c:v>208</c:v>
                </c:pt>
                <c:pt idx="90">
                  <c:v>208</c:v>
                </c:pt>
                <c:pt idx="91">
                  <c:v>208</c:v>
                </c:pt>
                <c:pt idx="92">
                  <c:v>208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207</c:v>
                </c:pt>
                <c:pt idx="99">
                  <c:v>207</c:v>
                </c:pt>
                <c:pt idx="100">
                  <c:v>204</c:v>
                </c:pt>
                <c:pt idx="101">
                  <c:v>204</c:v>
                </c:pt>
                <c:pt idx="102">
                  <c:v>204</c:v>
                </c:pt>
                <c:pt idx="103">
                  <c:v>204</c:v>
                </c:pt>
                <c:pt idx="104">
                  <c:v>204</c:v>
                </c:pt>
                <c:pt idx="105">
                  <c:v>204</c:v>
                </c:pt>
                <c:pt idx="106">
                  <c:v>204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213</c:v>
                </c:pt>
                <c:pt idx="119">
                  <c:v>213</c:v>
                </c:pt>
                <c:pt idx="120">
                  <c:v>213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214</c:v>
                </c:pt>
                <c:pt idx="125">
                  <c:v>214</c:v>
                </c:pt>
                <c:pt idx="126">
                  <c:v>214</c:v>
                </c:pt>
                <c:pt idx="127">
                  <c:v>214</c:v>
                </c:pt>
                <c:pt idx="128">
                  <c:v>203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203</c:v>
                </c:pt>
                <c:pt idx="133">
                  <c:v>203</c:v>
                </c:pt>
                <c:pt idx="134">
                  <c:v>203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202</c:v>
                </c:pt>
                <c:pt idx="141">
                  <c:v>202</c:v>
                </c:pt>
                <c:pt idx="142">
                  <c:v>167</c:v>
                </c:pt>
                <c:pt idx="143">
                  <c:v>167</c:v>
                </c:pt>
                <c:pt idx="144">
                  <c:v>167</c:v>
                </c:pt>
                <c:pt idx="145">
                  <c:v>167</c:v>
                </c:pt>
                <c:pt idx="146">
                  <c:v>167</c:v>
                </c:pt>
                <c:pt idx="147">
                  <c:v>167</c:v>
                </c:pt>
                <c:pt idx="148">
                  <c:v>167</c:v>
                </c:pt>
                <c:pt idx="149">
                  <c:v>157</c:v>
                </c:pt>
                <c:pt idx="150">
                  <c:v>157</c:v>
                </c:pt>
                <c:pt idx="151">
                  <c:v>157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156</c:v>
                </c:pt>
                <c:pt idx="157">
                  <c:v>156</c:v>
                </c:pt>
                <c:pt idx="158">
                  <c:v>156</c:v>
                </c:pt>
                <c:pt idx="159">
                  <c:v>156</c:v>
                </c:pt>
                <c:pt idx="160">
                  <c:v>156</c:v>
                </c:pt>
                <c:pt idx="161">
                  <c:v>156</c:v>
                </c:pt>
                <c:pt idx="162">
                  <c:v>156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153</c:v>
                </c:pt>
                <c:pt idx="169">
                  <c:v>153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141</c:v>
                </c:pt>
                <c:pt idx="178">
                  <c:v>141</c:v>
                </c:pt>
                <c:pt idx="179">
                  <c:v>141</c:v>
                </c:pt>
                <c:pt idx="180">
                  <c:v>141</c:v>
                </c:pt>
                <c:pt idx="181">
                  <c:v>141</c:v>
                </c:pt>
                <c:pt idx="182">
                  <c:v>141</c:v>
                </c:pt>
                <c:pt idx="183">
                  <c:v>141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233</c:v>
                </c:pt>
                <c:pt idx="197">
                  <c:v>233</c:v>
                </c:pt>
                <c:pt idx="198">
                  <c:v>272</c:v>
                </c:pt>
                <c:pt idx="199">
                  <c:v>272</c:v>
                </c:pt>
                <c:pt idx="200">
                  <c:v>272</c:v>
                </c:pt>
                <c:pt idx="201">
                  <c:v>272</c:v>
                </c:pt>
                <c:pt idx="202">
                  <c:v>272</c:v>
                </c:pt>
                <c:pt idx="203">
                  <c:v>272</c:v>
                </c:pt>
                <c:pt idx="204">
                  <c:v>272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295</c:v>
                </c:pt>
                <c:pt idx="211">
                  <c:v>295</c:v>
                </c:pt>
                <c:pt idx="212">
                  <c:v>346</c:v>
                </c:pt>
                <c:pt idx="213">
                  <c:v>346</c:v>
                </c:pt>
                <c:pt idx="214">
                  <c:v>346</c:v>
                </c:pt>
                <c:pt idx="215">
                  <c:v>346</c:v>
                </c:pt>
                <c:pt idx="216">
                  <c:v>346</c:v>
                </c:pt>
                <c:pt idx="217">
                  <c:v>346</c:v>
                </c:pt>
                <c:pt idx="218">
                  <c:v>346</c:v>
                </c:pt>
                <c:pt idx="219">
                  <c:v>340</c:v>
                </c:pt>
                <c:pt idx="220">
                  <c:v>340</c:v>
                </c:pt>
                <c:pt idx="221">
                  <c:v>340</c:v>
                </c:pt>
                <c:pt idx="222">
                  <c:v>340</c:v>
                </c:pt>
                <c:pt idx="223">
                  <c:v>340</c:v>
                </c:pt>
                <c:pt idx="224">
                  <c:v>340</c:v>
                </c:pt>
                <c:pt idx="225">
                  <c:v>340</c:v>
                </c:pt>
                <c:pt idx="226">
                  <c:v>347</c:v>
                </c:pt>
                <c:pt idx="227">
                  <c:v>347</c:v>
                </c:pt>
                <c:pt idx="228">
                  <c:v>347</c:v>
                </c:pt>
                <c:pt idx="229">
                  <c:v>347</c:v>
                </c:pt>
                <c:pt idx="230">
                  <c:v>347</c:v>
                </c:pt>
                <c:pt idx="231">
                  <c:v>347</c:v>
                </c:pt>
                <c:pt idx="232">
                  <c:v>347</c:v>
                </c:pt>
                <c:pt idx="233">
                  <c:v>384</c:v>
                </c:pt>
                <c:pt idx="234">
                  <c:v>384</c:v>
                </c:pt>
                <c:pt idx="235">
                  <c:v>384</c:v>
                </c:pt>
                <c:pt idx="236">
                  <c:v>384</c:v>
                </c:pt>
                <c:pt idx="237">
                  <c:v>384</c:v>
                </c:pt>
                <c:pt idx="238">
                  <c:v>384</c:v>
                </c:pt>
                <c:pt idx="239">
                  <c:v>384</c:v>
                </c:pt>
                <c:pt idx="240">
                  <c:v>611</c:v>
                </c:pt>
                <c:pt idx="241">
                  <c:v>611</c:v>
                </c:pt>
                <c:pt idx="242">
                  <c:v>611</c:v>
                </c:pt>
                <c:pt idx="243">
                  <c:v>611</c:v>
                </c:pt>
                <c:pt idx="244">
                  <c:v>611</c:v>
                </c:pt>
                <c:pt idx="245">
                  <c:v>611</c:v>
                </c:pt>
                <c:pt idx="246">
                  <c:v>611</c:v>
                </c:pt>
                <c:pt idx="247">
                  <c:v>712</c:v>
                </c:pt>
                <c:pt idx="248">
                  <c:v>712</c:v>
                </c:pt>
                <c:pt idx="249">
                  <c:v>712</c:v>
                </c:pt>
                <c:pt idx="250">
                  <c:v>712</c:v>
                </c:pt>
                <c:pt idx="251">
                  <c:v>712</c:v>
                </c:pt>
                <c:pt idx="252">
                  <c:v>712</c:v>
                </c:pt>
                <c:pt idx="253">
                  <c:v>712</c:v>
                </c:pt>
                <c:pt idx="254">
                  <c:v>772</c:v>
                </c:pt>
                <c:pt idx="255">
                  <c:v>772</c:v>
                </c:pt>
                <c:pt idx="256">
                  <c:v>772</c:v>
                </c:pt>
                <c:pt idx="257">
                  <c:v>772</c:v>
                </c:pt>
                <c:pt idx="258">
                  <c:v>772</c:v>
                </c:pt>
                <c:pt idx="259">
                  <c:v>772</c:v>
                </c:pt>
                <c:pt idx="260">
                  <c:v>772</c:v>
                </c:pt>
                <c:pt idx="261">
                  <c:v>656</c:v>
                </c:pt>
                <c:pt idx="262">
                  <c:v>656</c:v>
                </c:pt>
                <c:pt idx="263">
                  <c:v>656</c:v>
                </c:pt>
                <c:pt idx="264">
                  <c:v>656</c:v>
                </c:pt>
                <c:pt idx="265">
                  <c:v>656</c:v>
                </c:pt>
                <c:pt idx="266">
                  <c:v>656</c:v>
                </c:pt>
                <c:pt idx="267">
                  <c:v>656</c:v>
                </c:pt>
                <c:pt idx="268">
                  <c:v>661</c:v>
                </c:pt>
                <c:pt idx="269">
                  <c:v>661</c:v>
                </c:pt>
                <c:pt idx="270">
                  <c:v>661</c:v>
                </c:pt>
                <c:pt idx="271">
                  <c:v>661</c:v>
                </c:pt>
                <c:pt idx="272">
                  <c:v>661</c:v>
                </c:pt>
                <c:pt idx="273">
                  <c:v>661</c:v>
                </c:pt>
                <c:pt idx="274">
                  <c:v>661</c:v>
                </c:pt>
                <c:pt idx="275">
                  <c:v>699</c:v>
                </c:pt>
                <c:pt idx="276">
                  <c:v>699</c:v>
                </c:pt>
                <c:pt idx="277">
                  <c:v>699</c:v>
                </c:pt>
                <c:pt idx="278">
                  <c:v>699</c:v>
                </c:pt>
                <c:pt idx="279">
                  <c:v>699</c:v>
                </c:pt>
                <c:pt idx="280">
                  <c:v>699</c:v>
                </c:pt>
                <c:pt idx="281">
                  <c:v>699</c:v>
                </c:pt>
                <c:pt idx="282">
                  <c:v>614</c:v>
                </c:pt>
                <c:pt idx="283">
                  <c:v>614</c:v>
                </c:pt>
                <c:pt idx="284">
                  <c:v>614</c:v>
                </c:pt>
                <c:pt idx="285">
                  <c:v>614</c:v>
                </c:pt>
                <c:pt idx="286">
                  <c:v>614</c:v>
                </c:pt>
                <c:pt idx="287">
                  <c:v>614</c:v>
                </c:pt>
                <c:pt idx="288">
                  <c:v>614</c:v>
                </c:pt>
                <c:pt idx="289">
                  <c:v>545</c:v>
                </c:pt>
                <c:pt idx="290">
                  <c:v>545</c:v>
                </c:pt>
                <c:pt idx="291">
                  <c:v>545</c:v>
                </c:pt>
                <c:pt idx="292">
                  <c:v>545</c:v>
                </c:pt>
                <c:pt idx="293">
                  <c:v>545</c:v>
                </c:pt>
                <c:pt idx="294">
                  <c:v>545</c:v>
                </c:pt>
                <c:pt idx="295">
                  <c:v>545</c:v>
                </c:pt>
                <c:pt idx="296">
                  <c:v>422</c:v>
                </c:pt>
                <c:pt idx="297">
                  <c:v>422</c:v>
                </c:pt>
                <c:pt idx="298">
                  <c:v>422</c:v>
                </c:pt>
                <c:pt idx="299">
                  <c:v>422</c:v>
                </c:pt>
                <c:pt idx="300">
                  <c:v>422</c:v>
                </c:pt>
                <c:pt idx="301">
                  <c:v>422</c:v>
                </c:pt>
                <c:pt idx="302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0D-44BF-9434-A9EC837B6B99}"/>
            </c:ext>
          </c:extLst>
        </c:ser>
        <c:ser>
          <c:idx val="2"/>
          <c:order val="2"/>
          <c:tx>
            <c:strRef>
              <c:f>'Слайд 4'!$E$1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'Слайд 4'!$B$2:$B$304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'Слайд 4'!$E$2:$E$304</c:f>
              <c:numCache>
                <c:formatCode>General</c:formatCode>
                <c:ptCount val="303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193</c:v>
                </c:pt>
                <c:pt idx="29">
                  <c:v>193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366</c:v>
                </c:pt>
                <c:pt idx="60">
                  <c:v>366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378</c:v>
                </c:pt>
                <c:pt idx="90">
                  <c:v>378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393</c:v>
                </c:pt>
                <c:pt idx="121">
                  <c:v>393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426</c:v>
                </c:pt>
                <c:pt idx="151">
                  <c:v>426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390</c:v>
                </c:pt>
                <c:pt idx="182">
                  <c:v>390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536</c:v>
                </c:pt>
                <c:pt idx="213">
                  <c:v>536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696</c:v>
                </c:pt>
                <c:pt idx="241">
                  <c:v>696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1544</c:v>
                </c:pt>
                <c:pt idx="272">
                  <c:v>1544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  <c:pt idx="301">
                  <c:v>1027</c:v>
                </c:pt>
                <c:pt idx="302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0D-44BF-9434-A9EC837B6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1667407"/>
        <c:axId val="1771660335"/>
      </c:lineChart>
      <c:dateAx>
        <c:axId val="17716674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1660335"/>
        <c:crosses val="autoZero"/>
        <c:auto val="1"/>
        <c:lblOffset val="100"/>
        <c:baseTimeUnit val="days"/>
      </c:dateAx>
      <c:valAx>
        <c:axId val="177166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166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Динамика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 Sticky Factors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'Слайд 4'!$F$1</c:f>
              <c:strCache>
                <c:ptCount val="1"/>
                <c:pt idx="0">
                  <c:v>SF (week)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'Слайд 4'!$B$2:$B$304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'Слайд 4'!$F$2:$F$304</c:f>
              <c:numCache>
                <c:formatCode>0.00000</c:formatCode>
                <c:ptCount val="303"/>
                <c:pt idx="0">
                  <c:v>0.5</c:v>
                </c:pt>
                <c:pt idx="1">
                  <c:v>1</c:v>
                </c:pt>
                <c:pt idx="2">
                  <c:v>8.4745762711864403E-2</c:v>
                </c:pt>
                <c:pt idx="3">
                  <c:v>0.16949152542372881</c:v>
                </c:pt>
                <c:pt idx="4">
                  <c:v>8.4745762711864403E-2</c:v>
                </c:pt>
                <c:pt idx="5">
                  <c:v>0.22033898305084745</c:v>
                </c:pt>
                <c:pt idx="6">
                  <c:v>0.3728813559322034</c:v>
                </c:pt>
                <c:pt idx="7">
                  <c:v>0.3728813559322034</c:v>
                </c:pt>
                <c:pt idx="8">
                  <c:v>0.44067796610169491</c:v>
                </c:pt>
                <c:pt idx="9">
                  <c:v>0.25</c:v>
                </c:pt>
                <c:pt idx="10">
                  <c:v>0.2608695652173913</c:v>
                </c:pt>
                <c:pt idx="11">
                  <c:v>0.32608695652173914</c:v>
                </c:pt>
                <c:pt idx="12">
                  <c:v>0.34782608695652173</c:v>
                </c:pt>
                <c:pt idx="13">
                  <c:v>0.27173913043478259</c:v>
                </c:pt>
                <c:pt idx="14">
                  <c:v>0.36956521739130432</c:v>
                </c:pt>
                <c:pt idx="15">
                  <c:v>0.42391304347826086</c:v>
                </c:pt>
                <c:pt idx="16">
                  <c:v>0.16541353383458646</c:v>
                </c:pt>
                <c:pt idx="17">
                  <c:v>0.2857142857142857</c:v>
                </c:pt>
                <c:pt idx="18">
                  <c:v>0.25563909774436089</c:v>
                </c:pt>
                <c:pt idx="19">
                  <c:v>0.37593984962406013</c:v>
                </c:pt>
                <c:pt idx="20">
                  <c:v>0.32330827067669171</c:v>
                </c:pt>
                <c:pt idx="21">
                  <c:v>0.32330827067669171</c:v>
                </c:pt>
                <c:pt idx="22">
                  <c:v>0.39849624060150374</c:v>
                </c:pt>
                <c:pt idx="23">
                  <c:v>0.34426229508196721</c:v>
                </c:pt>
                <c:pt idx="24">
                  <c:v>0.26229508196721313</c:v>
                </c:pt>
                <c:pt idx="25">
                  <c:v>0.32240437158469948</c:v>
                </c:pt>
                <c:pt idx="26">
                  <c:v>0.32240437158469948</c:v>
                </c:pt>
                <c:pt idx="27">
                  <c:v>0.33333333333333331</c:v>
                </c:pt>
                <c:pt idx="28">
                  <c:v>0.34972677595628415</c:v>
                </c:pt>
                <c:pt idx="29">
                  <c:v>0.34972677595628415</c:v>
                </c:pt>
                <c:pt idx="30">
                  <c:v>0.25742574257425743</c:v>
                </c:pt>
                <c:pt idx="31">
                  <c:v>0.30693069306930693</c:v>
                </c:pt>
                <c:pt idx="32">
                  <c:v>0.2722772277227723</c:v>
                </c:pt>
                <c:pt idx="33">
                  <c:v>0.29702970297029702</c:v>
                </c:pt>
                <c:pt idx="34">
                  <c:v>0.25742574257425743</c:v>
                </c:pt>
                <c:pt idx="35">
                  <c:v>0.30693069306930693</c:v>
                </c:pt>
                <c:pt idx="36">
                  <c:v>0.29207920792079206</c:v>
                </c:pt>
                <c:pt idx="37">
                  <c:v>0.30051813471502592</c:v>
                </c:pt>
                <c:pt idx="38">
                  <c:v>0.27461139896373055</c:v>
                </c:pt>
                <c:pt idx="39">
                  <c:v>0.28497409326424872</c:v>
                </c:pt>
                <c:pt idx="40">
                  <c:v>0.33678756476683935</c:v>
                </c:pt>
                <c:pt idx="41">
                  <c:v>0.27979274611398963</c:v>
                </c:pt>
                <c:pt idx="42">
                  <c:v>0.38341968911917096</c:v>
                </c:pt>
                <c:pt idx="43">
                  <c:v>0.30569948186528495</c:v>
                </c:pt>
                <c:pt idx="44">
                  <c:v>0.26865671641791045</c:v>
                </c:pt>
                <c:pt idx="45">
                  <c:v>0.3383084577114428</c:v>
                </c:pt>
                <c:pt idx="46">
                  <c:v>0.29353233830845771</c:v>
                </c:pt>
                <c:pt idx="47">
                  <c:v>0.30348258706467662</c:v>
                </c:pt>
                <c:pt idx="48">
                  <c:v>0.28855721393034828</c:v>
                </c:pt>
                <c:pt idx="49">
                  <c:v>0.33333333333333331</c:v>
                </c:pt>
                <c:pt idx="50">
                  <c:v>0.30845771144278605</c:v>
                </c:pt>
                <c:pt idx="51">
                  <c:v>0.25728155339805825</c:v>
                </c:pt>
                <c:pt idx="52">
                  <c:v>0.29126213592233008</c:v>
                </c:pt>
                <c:pt idx="53">
                  <c:v>0.32524271844660196</c:v>
                </c:pt>
                <c:pt idx="54">
                  <c:v>0.32524271844660196</c:v>
                </c:pt>
                <c:pt idx="55">
                  <c:v>0.29611650485436891</c:v>
                </c:pt>
                <c:pt idx="56">
                  <c:v>0.30582524271844658</c:v>
                </c:pt>
                <c:pt idx="57">
                  <c:v>0.29611650485436891</c:v>
                </c:pt>
                <c:pt idx="58">
                  <c:v>0.28125</c:v>
                </c:pt>
                <c:pt idx="59">
                  <c:v>0.375</c:v>
                </c:pt>
                <c:pt idx="60">
                  <c:v>0.28125</c:v>
                </c:pt>
                <c:pt idx="61">
                  <c:v>0.34375</c:v>
                </c:pt>
                <c:pt idx="62">
                  <c:v>0.31770833333333331</c:v>
                </c:pt>
                <c:pt idx="63">
                  <c:v>0.30208333333333331</c:v>
                </c:pt>
                <c:pt idx="64">
                  <c:v>0.33333333333333331</c:v>
                </c:pt>
                <c:pt idx="65">
                  <c:v>0.31632653061224492</c:v>
                </c:pt>
                <c:pt idx="66">
                  <c:v>0.23469387755102042</c:v>
                </c:pt>
                <c:pt idx="67">
                  <c:v>0.25</c:v>
                </c:pt>
                <c:pt idx="68">
                  <c:v>0.30102040816326531</c:v>
                </c:pt>
                <c:pt idx="69">
                  <c:v>0.30612244897959184</c:v>
                </c:pt>
                <c:pt idx="70">
                  <c:v>0.27040816326530615</c:v>
                </c:pt>
                <c:pt idx="71">
                  <c:v>0.31122448979591838</c:v>
                </c:pt>
                <c:pt idx="72">
                  <c:v>0.28292682926829266</c:v>
                </c:pt>
                <c:pt idx="73">
                  <c:v>0.31219512195121951</c:v>
                </c:pt>
                <c:pt idx="74">
                  <c:v>0.31707317073170732</c:v>
                </c:pt>
                <c:pt idx="75">
                  <c:v>0.36097560975609755</c:v>
                </c:pt>
                <c:pt idx="76">
                  <c:v>0.28292682926829266</c:v>
                </c:pt>
                <c:pt idx="77">
                  <c:v>0.30243902439024389</c:v>
                </c:pt>
                <c:pt idx="78">
                  <c:v>0.33658536585365856</c:v>
                </c:pt>
                <c:pt idx="79">
                  <c:v>0.30985915492957744</c:v>
                </c:pt>
                <c:pt idx="80">
                  <c:v>0.31455399061032863</c:v>
                </c:pt>
                <c:pt idx="81">
                  <c:v>0.33333333333333331</c:v>
                </c:pt>
                <c:pt idx="82">
                  <c:v>0.31455399061032863</c:v>
                </c:pt>
                <c:pt idx="83">
                  <c:v>0.25821596244131456</c:v>
                </c:pt>
                <c:pt idx="84">
                  <c:v>0.27230046948356806</c:v>
                </c:pt>
                <c:pt idx="85">
                  <c:v>0.34272300469483569</c:v>
                </c:pt>
                <c:pt idx="86">
                  <c:v>0.27884615384615385</c:v>
                </c:pt>
                <c:pt idx="87">
                  <c:v>0.36538461538461536</c:v>
                </c:pt>
                <c:pt idx="88">
                  <c:v>0.29807692307692307</c:v>
                </c:pt>
                <c:pt idx="89">
                  <c:v>0.31730769230769229</c:v>
                </c:pt>
                <c:pt idx="90">
                  <c:v>0.28365384615384615</c:v>
                </c:pt>
                <c:pt idx="91">
                  <c:v>0.29326923076923078</c:v>
                </c:pt>
                <c:pt idx="92">
                  <c:v>0.25</c:v>
                </c:pt>
                <c:pt idx="93">
                  <c:v>0.33333333333333331</c:v>
                </c:pt>
                <c:pt idx="94">
                  <c:v>0.33816425120772947</c:v>
                </c:pt>
                <c:pt idx="95">
                  <c:v>0.21739130434782608</c:v>
                </c:pt>
                <c:pt idx="96">
                  <c:v>0.3719806763285024</c:v>
                </c:pt>
                <c:pt idx="97">
                  <c:v>0.29468599033816423</c:v>
                </c:pt>
                <c:pt idx="98">
                  <c:v>0.27053140096618356</c:v>
                </c:pt>
                <c:pt idx="99">
                  <c:v>0.3188405797101449</c:v>
                </c:pt>
                <c:pt idx="100">
                  <c:v>0.25</c:v>
                </c:pt>
                <c:pt idx="101">
                  <c:v>0.28921568627450983</c:v>
                </c:pt>
                <c:pt idx="102">
                  <c:v>0.31862745098039214</c:v>
                </c:pt>
                <c:pt idx="103">
                  <c:v>0.25980392156862747</c:v>
                </c:pt>
                <c:pt idx="104">
                  <c:v>0.35294117647058826</c:v>
                </c:pt>
                <c:pt idx="105">
                  <c:v>0.30392156862745096</c:v>
                </c:pt>
                <c:pt idx="106">
                  <c:v>0.30392156862745096</c:v>
                </c:pt>
                <c:pt idx="107">
                  <c:v>0.34825870646766172</c:v>
                </c:pt>
                <c:pt idx="108">
                  <c:v>0.30845771144278605</c:v>
                </c:pt>
                <c:pt idx="109">
                  <c:v>0.4079601990049751</c:v>
                </c:pt>
                <c:pt idx="110">
                  <c:v>0.25870646766169153</c:v>
                </c:pt>
                <c:pt idx="111">
                  <c:v>0.32338308457711445</c:v>
                </c:pt>
                <c:pt idx="112">
                  <c:v>0.31840796019900497</c:v>
                </c:pt>
                <c:pt idx="113">
                  <c:v>0.28358208955223879</c:v>
                </c:pt>
                <c:pt idx="114">
                  <c:v>0.27230046948356806</c:v>
                </c:pt>
                <c:pt idx="115">
                  <c:v>0.30985915492957744</c:v>
                </c:pt>
                <c:pt idx="116">
                  <c:v>0.28169014084507044</c:v>
                </c:pt>
                <c:pt idx="117">
                  <c:v>0.25821596244131456</c:v>
                </c:pt>
                <c:pt idx="118">
                  <c:v>0.30516431924882631</c:v>
                </c:pt>
                <c:pt idx="119">
                  <c:v>0.25352112676056338</c:v>
                </c:pt>
                <c:pt idx="120">
                  <c:v>0.30985915492957744</c:v>
                </c:pt>
                <c:pt idx="121">
                  <c:v>0.3364485981308411</c:v>
                </c:pt>
                <c:pt idx="122">
                  <c:v>0.27102803738317754</c:v>
                </c:pt>
                <c:pt idx="123">
                  <c:v>0.2570093457943925</c:v>
                </c:pt>
                <c:pt idx="124">
                  <c:v>0.26168224299065418</c:v>
                </c:pt>
                <c:pt idx="125">
                  <c:v>0.29439252336448596</c:v>
                </c:pt>
                <c:pt idx="126">
                  <c:v>0.32242990654205606</c:v>
                </c:pt>
                <c:pt idx="127">
                  <c:v>0.28971962616822428</c:v>
                </c:pt>
                <c:pt idx="128">
                  <c:v>0.29556650246305421</c:v>
                </c:pt>
                <c:pt idx="129">
                  <c:v>0.29556650246305421</c:v>
                </c:pt>
                <c:pt idx="130">
                  <c:v>0.29556650246305421</c:v>
                </c:pt>
                <c:pt idx="131">
                  <c:v>0.27093596059113301</c:v>
                </c:pt>
                <c:pt idx="132">
                  <c:v>0.30541871921182268</c:v>
                </c:pt>
                <c:pt idx="133">
                  <c:v>0.26108374384236455</c:v>
                </c:pt>
                <c:pt idx="134">
                  <c:v>0.26600985221674878</c:v>
                </c:pt>
                <c:pt idx="135">
                  <c:v>0.22772277227722773</c:v>
                </c:pt>
                <c:pt idx="136">
                  <c:v>0.2722772277227723</c:v>
                </c:pt>
                <c:pt idx="137">
                  <c:v>0.25247524752475248</c:v>
                </c:pt>
                <c:pt idx="138">
                  <c:v>0.28712871287128711</c:v>
                </c:pt>
                <c:pt idx="139">
                  <c:v>0.25247524752475248</c:v>
                </c:pt>
                <c:pt idx="140">
                  <c:v>0.19801980198019803</c:v>
                </c:pt>
                <c:pt idx="141">
                  <c:v>0.24752475247524752</c:v>
                </c:pt>
                <c:pt idx="142">
                  <c:v>0.20359281437125748</c:v>
                </c:pt>
                <c:pt idx="143">
                  <c:v>0.24550898203592814</c:v>
                </c:pt>
                <c:pt idx="144">
                  <c:v>0.23353293413173654</c:v>
                </c:pt>
                <c:pt idx="145">
                  <c:v>0.19161676646706588</c:v>
                </c:pt>
                <c:pt idx="146">
                  <c:v>0.19161676646706588</c:v>
                </c:pt>
                <c:pt idx="147">
                  <c:v>0.18562874251497005</c:v>
                </c:pt>
                <c:pt idx="148">
                  <c:v>0.20958083832335328</c:v>
                </c:pt>
                <c:pt idx="149">
                  <c:v>0.20382165605095542</c:v>
                </c:pt>
                <c:pt idx="150">
                  <c:v>0.1464968152866242</c:v>
                </c:pt>
                <c:pt idx="151">
                  <c:v>0.22292993630573249</c:v>
                </c:pt>
                <c:pt idx="152">
                  <c:v>0.20382165605095542</c:v>
                </c:pt>
                <c:pt idx="153">
                  <c:v>0.15923566878980891</c:v>
                </c:pt>
                <c:pt idx="154">
                  <c:v>0.12101910828025478</c:v>
                </c:pt>
                <c:pt idx="155">
                  <c:v>0.19108280254777071</c:v>
                </c:pt>
                <c:pt idx="156">
                  <c:v>0.14743589743589744</c:v>
                </c:pt>
                <c:pt idx="157">
                  <c:v>0.20512820512820512</c:v>
                </c:pt>
                <c:pt idx="158">
                  <c:v>0.22435897435897437</c:v>
                </c:pt>
                <c:pt idx="159">
                  <c:v>0.1858974358974359</c:v>
                </c:pt>
                <c:pt idx="160">
                  <c:v>0.23076923076923078</c:v>
                </c:pt>
                <c:pt idx="161">
                  <c:v>0.19230769230769232</c:v>
                </c:pt>
                <c:pt idx="162">
                  <c:v>0.16025641025641027</c:v>
                </c:pt>
                <c:pt idx="163">
                  <c:v>0.20261437908496732</c:v>
                </c:pt>
                <c:pt idx="164">
                  <c:v>0.22222222222222221</c:v>
                </c:pt>
                <c:pt idx="165">
                  <c:v>0.1437908496732026</c:v>
                </c:pt>
                <c:pt idx="166">
                  <c:v>0.16993464052287582</c:v>
                </c:pt>
                <c:pt idx="167">
                  <c:v>0.17647058823529413</c:v>
                </c:pt>
                <c:pt idx="168">
                  <c:v>0.18300653594771241</c:v>
                </c:pt>
                <c:pt idx="169">
                  <c:v>0.13071895424836602</c:v>
                </c:pt>
                <c:pt idx="170">
                  <c:v>0.22068965517241379</c:v>
                </c:pt>
                <c:pt idx="171">
                  <c:v>0.19310344827586207</c:v>
                </c:pt>
                <c:pt idx="172">
                  <c:v>0.19310344827586207</c:v>
                </c:pt>
                <c:pt idx="173">
                  <c:v>0.2</c:v>
                </c:pt>
                <c:pt idx="174">
                  <c:v>0.24827586206896551</c:v>
                </c:pt>
                <c:pt idx="175">
                  <c:v>0.16551724137931034</c:v>
                </c:pt>
                <c:pt idx="176">
                  <c:v>0.22758620689655173</c:v>
                </c:pt>
                <c:pt idx="177">
                  <c:v>0.18439716312056736</c:v>
                </c:pt>
                <c:pt idx="178">
                  <c:v>0.1702127659574468</c:v>
                </c:pt>
                <c:pt idx="179">
                  <c:v>0.22695035460992907</c:v>
                </c:pt>
                <c:pt idx="180">
                  <c:v>0.20567375886524822</c:v>
                </c:pt>
                <c:pt idx="181">
                  <c:v>0.15602836879432624</c:v>
                </c:pt>
                <c:pt idx="182">
                  <c:v>0.26241134751773049</c:v>
                </c:pt>
                <c:pt idx="183">
                  <c:v>0.1702127659574468</c:v>
                </c:pt>
                <c:pt idx="184">
                  <c:v>0.18421052631578946</c:v>
                </c:pt>
                <c:pt idx="185">
                  <c:v>0.21052631578947367</c:v>
                </c:pt>
                <c:pt idx="186">
                  <c:v>0.24210526315789474</c:v>
                </c:pt>
                <c:pt idx="187">
                  <c:v>0.18947368421052632</c:v>
                </c:pt>
                <c:pt idx="188">
                  <c:v>0.24210526315789474</c:v>
                </c:pt>
                <c:pt idx="189">
                  <c:v>0.18421052631578946</c:v>
                </c:pt>
                <c:pt idx="190">
                  <c:v>0.27894736842105261</c:v>
                </c:pt>
                <c:pt idx="191">
                  <c:v>0.22746781115879827</c:v>
                </c:pt>
                <c:pt idx="192">
                  <c:v>0.22317596566523606</c:v>
                </c:pt>
                <c:pt idx="193">
                  <c:v>0.27896995708154504</c:v>
                </c:pt>
                <c:pt idx="194">
                  <c:v>0.22317596566523606</c:v>
                </c:pt>
                <c:pt idx="195">
                  <c:v>0.26609442060085836</c:v>
                </c:pt>
                <c:pt idx="196">
                  <c:v>0.33047210300429186</c:v>
                </c:pt>
                <c:pt idx="197">
                  <c:v>0.26180257510729615</c:v>
                </c:pt>
                <c:pt idx="198">
                  <c:v>0.25735294117647056</c:v>
                </c:pt>
                <c:pt idx="199">
                  <c:v>0.24264705882352941</c:v>
                </c:pt>
                <c:pt idx="200">
                  <c:v>0.26838235294117646</c:v>
                </c:pt>
                <c:pt idx="201">
                  <c:v>0.26838235294117646</c:v>
                </c:pt>
                <c:pt idx="202">
                  <c:v>0.29411764705882354</c:v>
                </c:pt>
                <c:pt idx="203">
                  <c:v>0.27573529411764708</c:v>
                </c:pt>
                <c:pt idx="204">
                  <c:v>0.33088235294117646</c:v>
                </c:pt>
                <c:pt idx="205">
                  <c:v>0.26440677966101694</c:v>
                </c:pt>
                <c:pt idx="206">
                  <c:v>0.30508474576271188</c:v>
                </c:pt>
                <c:pt idx="207">
                  <c:v>0.29830508474576273</c:v>
                </c:pt>
                <c:pt idx="208">
                  <c:v>0.28135593220338984</c:v>
                </c:pt>
                <c:pt idx="209">
                  <c:v>0.31186440677966104</c:v>
                </c:pt>
                <c:pt idx="210">
                  <c:v>0.33559322033898303</c:v>
                </c:pt>
                <c:pt idx="211">
                  <c:v>0.31525423728813562</c:v>
                </c:pt>
                <c:pt idx="212">
                  <c:v>0.33236994219653176</c:v>
                </c:pt>
                <c:pt idx="213">
                  <c:v>0.31213872832369943</c:v>
                </c:pt>
                <c:pt idx="214">
                  <c:v>0.32369942196531792</c:v>
                </c:pt>
                <c:pt idx="215">
                  <c:v>0.24855491329479767</c:v>
                </c:pt>
                <c:pt idx="216">
                  <c:v>0.2832369942196532</c:v>
                </c:pt>
                <c:pt idx="217">
                  <c:v>0.28901734104046245</c:v>
                </c:pt>
                <c:pt idx="218">
                  <c:v>0.27456647398843931</c:v>
                </c:pt>
                <c:pt idx="219">
                  <c:v>0.28823529411764703</c:v>
                </c:pt>
                <c:pt idx="220">
                  <c:v>0.26470588235294118</c:v>
                </c:pt>
                <c:pt idx="221">
                  <c:v>0.31470588235294117</c:v>
                </c:pt>
                <c:pt idx="222">
                  <c:v>0.29705882352941176</c:v>
                </c:pt>
                <c:pt idx="223">
                  <c:v>0.30588235294117649</c:v>
                </c:pt>
                <c:pt idx="224">
                  <c:v>0.28823529411764703</c:v>
                </c:pt>
                <c:pt idx="225">
                  <c:v>0.29705882352941176</c:v>
                </c:pt>
                <c:pt idx="226">
                  <c:v>0.27089337175792505</c:v>
                </c:pt>
                <c:pt idx="227">
                  <c:v>0.31123919308357351</c:v>
                </c:pt>
                <c:pt idx="228">
                  <c:v>0.29682997118155618</c:v>
                </c:pt>
                <c:pt idx="229">
                  <c:v>0.2737752161383285</c:v>
                </c:pt>
                <c:pt idx="230">
                  <c:v>0.30835734870317005</c:v>
                </c:pt>
                <c:pt idx="231">
                  <c:v>0.33429394812680113</c:v>
                </c:pt>
                <c:pt idx="232">
                  <c:v>0.31412103746397696</c:v>
                </c:pt>
                <c:pt idx="233">
                  <c:v>0.21875</c:v>
                </c:pt>
                <c:pt idx="234">
                  <c:v>0.25520833333333331</c:v>
                </c:pt>
                <c:pt idx="235">
                  <c:v>0.29947916666666669</c:v>
                </c:pt>
                <c:pt idx="236">
                  <c:v>0.24739583333333334</c:v>
                </c:pt>
                <c:pt idx="237">
                  <c:v>0.27604166666666669</c:v>
                </c:pt>
                <c:pt idx="238">
                  <c:v>0.30729166666666669</c:v>
                </c:pt>
                <c:pt idx="239">
                  <c:v>0.33072916666666669</c:v>
                </c:pt>
                <c:pt idx="240">
                  <c:v>0.1702127659574468</c:v>
                </c:pt>
                <c:pt idx="241">
                  <c:v>0.2144026186579378</c:v>
                </c:pt>
                <c:pt idx="242">
                  <c:v>0.21276595744680851</c:v>
                </c:pt>
                <c:pt idx="243">
                  <c:v>0.22585924713584288</c:v>
                </c:pt>
                <c:pt idx="244">
                  <c:v>0.27332242225859249</c:v>
                </c:pt>
                <c:pt idx="245">
                  <c:v>0.27823240589198034</c:v>
                </c:pt>
                <c:pt idx="246">
                  <c:v>0.27004909983633391</c:v>
                </c:pt>
                <c:pt idx="247">
                  <c:v>0.20926966292134833</c:v>
                </c:pt>
                <c:pt idx="248">
                  <c:v>0.21207865168539325</c:v>
                </c:pt>
                <c:pt idx="249">
                  <c:v>0.24297752808988765</c:v>
                </c:pt>
                <c:pt idx="250">
                  <c:v>0.21067415730337077</c:v>
                </c:pt>
                <c:pt idx="251">
                  <c:v>0.22752808988764045</c:v>
                </c:pt>
                <c:pt idx="252">
                  <c:v>0.24578651685393257</c:v>
                </c:pt>
                <c:pt idx="253">
                  <c:v>0.24719101123595505</c:v>
                </c:pt>
                <c:pt idx="254">
                  <c:v>0.23316062176165803</c:v>
                </c:pt>
                <c:pt idx="255">
                  <c:v>0.21761658031088082</c:v>
                </c:pt>
                <c:pt idx="256">
                  <c:v>0.23963730569948186</c:v>
                </c:pt>
                <c:pt idx="257">
                  <c:v>0.2344559585492228</c:v>
                </c:pt>
                <c:pt idx="258">
                  <c:v>0.22279792746113988</c:v>
                </c:pt>
                <c:pt idx="259">
                  <c:v>0.2422279792746114</c:v>
                </c:pt>
                <c:pt idx="260">
                  <c:v>0.28238341968911918</c:v>
                </c:pt>
                <c:pt idx="261">
                  <c:v>0.28048780487804881</c:v>
                </c:pt>
                <c:pt idx="262">
                  <c:v>0.29573170731707316</c:v>
                </c:pt>
                <c:pt idx="263">
                  <c:v>0.19969512195121952</c:v>
                </c:pt>
                <c:pt idx="264">
                  <c:v>0.26829268292682928</c:v>
                </c:pt>
                <c:pt idx="265">
                  <c:v>0.2073170731707317</c:v>
                </c:pt>
                <c:pt idx="266">
                  <c:v>0.23323170731707318</c:v>
                </c:pt>
                <c:pt idx="267">
                  <c:v>0.2423780487804878</c:v>
                </c:pt>
                <c:pt idx="268">
                  <c:v>0.21633888048411498</c:v>
                </c:pt>
                <c:pt idx="269">
                  <c:v>0.23600605143721634</c:v>
                </c:pt>
                <c:pt idx="270">
                  <c:v>0.22844175491679275</c:v>
                </c:pt>
                <c:pt idx="271">
                  <c:v>0.22390317700453857</c:v>
                </c:pt>
                <c:pt idx="272">
                  <c:v>0.2783661119515885</c:v>
                </c:pt>
                <c:pt idx="273">
                  <c:v>0.30862329803328292</c:v>
                </c:pt>
                <c:pt idx="274">
                  <c:v>0.32526475037821484</c:v>
                </c:pt>
                <c:pt idx="275">
                  <c:v>0.2832618025751073</c:v>
                </c:pt>
                <c:pt idx="276">
                  <c:v>0.28469241773962806</c:v>
                </c:pt>
                <c:pt idx="277">
                  <c:v>0.26895565092989987</c:v>
                </c:pt>
                <c:pt idx="278">
                  <c:v>0.28183118741058655</c:v>
                </c:pt>
                <c:pt idx="279">
                  <c:v>0.27467811158798283</c:v>
                </c:pt>
                <c:pt idx="280">
                  <c:v>0.28612303290414881</c:v>
                </c:pt>
                <c:pt idx="281">
                  <c:v>0.27467811158798283</c:v>
                </c:pt>
                <c:pt idx="282">
                  <c:v>0.28013029315960913</c:v>
                </c:pt>
                <c:pt idx="283">
                  <c:v>0.26058631921824105</c:v>
                </c:pt>
                <c:pt idx="284">
                  <c:v>0.2736156351791531</c:v>
                </c:pt>
                <c:pt idx="285">
                  <c:v>0.27850162866449513</c:v>
                </c:pt>
                <c:pt idx="286">
                  <c:v>0.250814332247557</c:v>
                </c:pt>
                <c:pt idx="287">
                  <c:v>0.23778501628664495</c:v>
                </c:pt>
                <c:pt idx="288">
                  <c:v>0.27035830618892509</c:v>
                </c:pt>
                <c:pt idx="289">
                  <c:v>0.24587155963302754</c:v>
                </c:pt>
                <c:pt idx="290">
                  <c:v>0.27339449541284405</c:v>
                </c:pt>
                <c:pt idx="291">
                  <c:v>0.24220183486238533</c:v>
                </c:pt>
                <c:pt idx="292">
                  <c:v>0.24036697247706423</c:v>
                </c:pt>
                <c:pt idx="293">
                  <c:v>0.19082568807339451</c:v>
                </c:pt>
                <c:pt idx="294">
                  <c:v>0.19266055045871561</c:v>
                </c:pt>
                <c:pt idx="295">
                  <c:v>0.19266055045871561</c:v>
                </c:pt>
                <c:pt idx="296">
                  <c:v>0.2132701421800948</c:v>
                </c:pt>
                <c:pt idx="297">
                  <c:v>0.23933649289099526</c:v>
                </c:pt>
                <c:pt idx="298">
                  <c:v>0.21800947867298578</c:v>
                </c:pt>
                <c:pt idx="299">
                  <c:v>0.16113744075829384</c:v>
                </c:pt>
                <c:pt idx="300">
                  <c:v>0.17772511848341233</c:v>
                </c:pt>
                <c:pt idx="301">
                  <c:v>0.17298578199052134</c:v>
                </c:pt>
                <c:pt idx="302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0F-4758-A392-3B21BCD49D33}"/>
            </c:ext>
          </c:extLst>
        </c:ser>
        <c:ser>
          <c:idx val="1"/>
          <c:order val="1"/>
          <c:tx>
            <c:strRef>
              <c:f>'Слайд 4'!$G$1</c:f>
              <c:strCache>
                <c:ptCount val="1"/>
                <c:pt idx="0">
                  <c:v>SF (month)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'Слайд 4'!$B$2:$B$304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'Слайд 4'!$G$2:$G$304</c:f>
              <c:numCache>
                <c:formatCode>0.00000</c:formatCode>
                <c:ptCount val="303"/>
                <c:pt idx="0">
                  <c:v>1.5544041450777202E-2</c:v>
                </c:pt>
                <c:pt idx="1">
                  <c:v>3.1088082901554404E-2</c:v>
                </c:pt>
                <c:pt idx="2">
                  <c:v>2.5906735751295335E-2</c:v>
                </c:pt>
                <c:pt idx="3">
                  <c:v>5.181347150259067E-2</c:v>
                </c:pt>
                <c:pt idx="4">
                  <c:v>2.5906735751295335E-2</c:v>
                </c:pt>
                <c:pt idx="5">
                  <c:v>6.7357512953367879E-2</c:v>
                </c:pt>
                <c:pt idx="6">
                  <c:v>0.11398963730569948</c:v>
                </c:pt>
                <c:pt idx="7">
                  <c:v>0.11398963730569948</c:v>
                </c:pt>
                <c:pt idx="8">
                  <c:v>0.13471502590673576</c:v>
                </c:pt>
                <c:pt idx="9">
                  <c:v>0.11917098445595854</c:v>
                </c:pt>
                <c:pt idx="10">
                  <c:v>0.12435233160621761</c:v>
                </c:pt>
                <c:pt idx="11">
                  <c:v>0.15544041450777202</c:v>
                </c:pt>
                <c:pt idx="12">
                  <c:v>0.16580310880829016</c:v>
                </c:pt>
                <c:pt idx="13">
                  <c:v>0.12953367875647667</c:v>
                </c:pt>
                <c:pt idx="14">
                  <c:v>0.17616580310880828</c:v>
                </c:pt>
                <c:pt idx="15">
                  <c:v>0.20207253886010362</c:v>
                </c:pt>
                <c:pt idx="16">
                  <c:v>0.11398963730569948</c:v>
                </c:pt>
                <c:pt idx="17">
                  <c:v>0.19689119170984457</c:v>
                </c:pt>
                <c:pt idx="18">
                  <c:v>0.17616580310880828</c:v>
                </c:pt>
                <c:pt idx="19">
                  <c:v>0.25906735751295334</c:v>
                </c:pt>
                <c:pt idx="20">
                  <c:v>0.22279792746113988</c:v>
                </c:pt>
                <c:pt idx="21">
                  <c:v>0.22279792746113988</c:v>
                </c:pt>
                <c:pt idx="22">
                  <c:v>0.27461139896373055</c:v>
                </c:pt>
                <c:pt idx="23">
                  <c:v>0.32642487046632124</c:v>
                </c:pt>
                <c:pt idx="24">
                  <c:v>0.24870466321243523</c:v>
                </c:pt>
                <c:pt idx="25">
                  <c:v>0.30569948186528495</c:v>
                </c:pt>
                <c:pt idx="26">
                  <c:v>0.30569948186528495</c:v>
                </c:pt>
                <c:pt idx="27">
                  <c:v>0.31606217616580312</c:v>
                </c:pt>
                <c:pt idx="28">
                  <c:v>0.33160621761658032</c:v>
                </c:pt>
                <c:pt idx="29">
                  <c:v>0.33160621761658032</c:v>
                </c:pt>
                <c:pt idx="30">
                  <c:v>0.14207650273224043</c:v>
                </c:pt>
                <c:pt idx="31">
                  <c:v>0.16939890710382513</c:v>
                </c:pt>
                <c:pt idx="32">
                  <c:v>0.15027322404371585</c:v>
                </c:pt>
                <c:pt idx="33">
                  <c:v>0.16393442622950818</c:v>
                </c:pt>
                <c:pt idx="34">
                  <c:v>0.14207650273224043</c:v>
                </c:pt>
                <c:pt idx="35">
                  <c:v>0.16939890710382513</c:v>
                </c:pt>
                <c:pt idx="36">
                  <c:v>0.16120218579234974</c:v>
                </c:pt>
                <c:pt idx="37">
                  <c:v>0.15846994535519127</c:v>
                </c:pt>
                <c:pt idx="38">
                  <c:v>0.1448087431693989</c:v>
                </c:pt>
                <c:pt idx="39">
                  <c:v>0.15027322404371585</c:v>
                </c:pt>
                <c:pt idx="40">
                  <c:v>0.17759562841530055</c:v>
                </c:pt>
                <c:pt idx="41">
                  <c:v>0.14754098360655737</c:v>
                </c:pt>
                <c:pt idx="42">
                  <c:v>0.20218579234972678</c:v>
                </c:pt>
                <c:pt idx="43">
                  <c:v>0.16120218579234974</c:v>
                </c:pt>
                <c:pt idx="44">
                  <c:v>0.14754098360655737</c:v>
                </c:pt>
                <c:pt idx="45">
                  <c:v>0.18579234972677597</c:v>
                </c:pt>
                <c:pt idx="46">
                  <c:v>0.16120218579234974</c:v>
                </c:pt>
                <c:pt idx="47">
                  <c:v>0.16666666666666666</c:v>
                </c:pt>
                <c:pt idx="48">
                  <c:v>0.15846994535519127</c:v>
                </c:pt>
                <c:pt idx="49">
                  <c:v>0.1830601092896175</c:v>
                </c:pt>
                <c:pt idx="50">
                  <c:v>0.16939890710382513</c:v>
                </c:pt>
                <c:pt idx="51">
                  <c:v>0.1448087431693989</c:v>
                </c:pt>
                <c:pt idx="52">
                  <c:v>0.16393442622950818</c:v>
                </c:pt>
                <c:pt idx="53">
                  <c:v>0.1830601092896175</c:v>
                </c:pt>
                <c:pt idx="54">
                  <c:v>0.1830601092896175</c:v>
                </c:pt>
                <c:pt idx="55">
                  <c:v>0.16666666666666666</c:v>
                </c:pt>
                <c:pt idx="56">
                  <c:v>0.1721311475409836</c:v>
                </c:pt>
                <c:pt idx="57">
                  <c:v>0.16666666666666666</c:v>
                </c:pt>
                <c:pt idx="58">
                  <c:v>0.14754098360655737</c:v>
                </c:pt>
                <c:pt idx="59">
                  <c:v>0.19672131147540983</c:v>
                </c:pt>
                <c:pt idx="60">
                  <c:v>0.14754098360655737</c:v>
                </c:pt>
                <c:pt idx="61">
                  <c:v>0.17460317460317459</c:v>
                </c:pt>
                <c:pt idx="62">
                  <c:v>0.16137566137566137</c:v>
                </c:pt>
                <c:pt idx="63">
                  <c:v>0.15343915343915343</c:v>
                </c:pt>
                <c:pt idx="64">
                  <c:v>0.1693121693121693</c:v>
                </c:pt>
                <c:pt idx="65">
                  <c:v>0.16402116402116401</c:v>
                </c:pt>
                <c:pt idx="66">
                  <c:v>0.12169312169312169</c:v>
                </c:pt>
                <c:pt idx="67">
                  <c:v>0.12962962962962962</c:v>
                </c:pt>
                <c:pt idx="68">
                  <c:v>0.15608465608465608</c:v>
                </c:pt>
                <c:pt idx="69">
                  <c:v>0.15873015873015872</c:v>
                </c:pt>
                <c:pt idx="70">
                  <c:v>0.1402116402116402</c:v>
                </c:pt>
                <c:pt idx="71">
                  <c:v>0.16137566137566137</c:v>
                </c:pt>
                <c:pt idx="72">
                  <c:v>0.15343915343915343</c:v>
                </c:pt>
                <c:pt idx="73">
                  <c:v>0.1693121693121693</c:v>
                </c:pt>
                <c:pt idx="74">
                  <c:v>0.17195767195767195</c:v>
                </c:pt>
                <c:pt idx="75">
                  <c:v>0.19576719576719576</c:v>
                </c:pt>
                <c:pt idx="76">
                  <c:v>0.15343915343915343</c:v>
                </c:pt>
                <c:pt idx="77">
                  <c:v>0.16402116402116401</c:v>
                </c:pt>
                <c:pt idx="78">
                  <c:v>0.18253968253968253</c:v>
                </c:pt>
                <c:pt idx="79">
                  <c:v>0.17460317460317459</c:v>
                </c:pt>
                <c:pt idx="80">
                  <c:v>0.17724867724867724</c:v>
                </c:pt>
                <c:pt idx="81">
                  <c:v>0.18783068783068782</c:v>
                </c:pt>
                <c:pt idx="82">
                  <c:v>0.17724867724867724</c:v>
                </c:pt>
                <c:pt idx="83">
                  <c:v>0.14550264550264549</c:v>
                </c:pt>
                <c:pt idx="84">
                  <c:v>0.15343915343915343</c:v>
                </c:pt>
                <c:pt idx="85">
                  <c:v>0.19312169312169311</c:v>
                </c:pt>
                <c:pt idx="86">
                  <c:v>0.15343915343915343</c:v>
                </c:pt>
                <c:pt idx="87">
                  <c:v>0.20105820105820105</c:v>
                </c:pt>
                <c:pt idx="88">
                  <c:v>0.16402116402116401</c:v>
                </c:pt>
                <c:pt idx="89">
                  <c:v>0.17460317460317459</c:v>
                </c:pt>
                <c:pt idx="90">
                  <c:v>0.15608465608465608</c:v>
                </c:pt>
                <c:pt idx="91">
                  <c:v>0.15521628498727735</c:v>
                </c:pt>
                <c:pt idx="92">
                  <c:v>0.13231552162849872</c:v>
                </c:pt>
                <c:pt idx="93">
                  <c:v>0.17557251908396945</c:v>
                </c:pt>
                <c:pt idx="94">
                  <c:v>0.17811704834605599</c:v>
                </c:pt>
                <c:pt idx="95">
                  <c:v>0.11450381679389313</c:v>
                </c:pt>
                <c:pt idx="96">
                  <c:v>0.19592875318066158</c:v>
                </c:pt>
                <c:pt idx="97">
                  <c:v>0.15521628498727735</c:v>
                </c:pt>
                <c:pt idx="98">
                  <c:v>0.14249363867684478</c:v>
                </c:pt>
                <c:pt idx="99">
                  <c:v>0.16793893129770993</c:v>
                </c:pt>
                <c:pt idx="100">
                  <c:v>0.12977099236641221</c:v>
                </c:pt>
                <c:pt idx="101">
                  <c:v>0.15012722646310434</c:v>
                </c:pt>
                <c:pt idx="102">
                  <c:v>0.16539440203562342</c:v>
                </c:pt>
                <c:pt idx="103">
                  <c:v>0.13486005089058525</c:v>
                </c:pt>
                <c:pt idx="104">
                  <c:v>0.18320610687022901</c:v>
                </c:pt>
                <c:pt idx="105">
                  <c:v>0.15776081424936386</c:v>
                </c:pt>
                <c:pt idx="106">
                  <c:v>0.15776081424936386</c:v>
                </c:pt>
                <c:pt idx="107">
                  <c:v>0.17811704834605599</c:v>
                </c:pt>
                <c:pt idx="108">
                  <c:v>0.15776081424936386</c:v>
                </c:pt>
                <c:pt idx="109">
                  <c:v>0.20865139949109415</c:v>
                </c:pt>
                <c:pt idx="110">
                  <c:v>0.13231552162849872</c:v>
                </c:pt>
                <c:pt idx="111">
                  <c:v>0.16539440203562342</c:v>
                </c:pt>
                <c:pt idx="112">
                  <c:v>0.16284987277353691</c:v>
                </c:pt>
                <c:pt idx="113">
                  <c:v>0.14503816793893129</c:v>
                </c:pt>
                <c:pt idx="114">
                  <c:v>0.1475826972010178</c:v>
                </c:pt>
                <c:pt idx="115">
                  <c:v>0.16793893129770993</c:v>
                </c:pt>
                <c:pt idx="116">
                  <c:v>0.15267175572519084</c:v>
                </c:pt>
                <c:pt idx="117">
                  <c:v>0.13994910941475827</c:v>
                </c:pt>
                <c:pt idx="118">
                  <c:v>0.16539440203562342</c:v>
                </c:pt>
                <c:pt idx="119">
                  <c:v>0.13740458015267176</c:v>
                </c:pt>
                <c:pt idx="120">
                  <c:v>0.16793893129770993</c:v>
                </c:pt>
                <c:pt idx="121">
                  <c:v>0.18320610687022901</c:v>
                </c:pt>
                <c:pt idx="122">
                  <c:v>0.13615023474178403</c:v>
                </c:pt>
                <c:pt idx="123">
                  <c:v>0.12910798122065728</c:v>
                </c:pt>
                <c:pt idx="124">
                  <c:v>0.13145539906103287</c:v>
                </c:pt>
                <c:pt idx="125">
                  <c:v>0.14788732394366197</c:v>
                </c:pt>
                <c:pt idx="126">
                  <c:v>0.1619718309859155</c:v>
                </c:pt>
                <c:pt idx="127">
                  <c:v>0.14553990610328638</c:v>
                </c:pt>
                <c:pt idx="128">
                  <c:v>0.14084507042253522</c:v>
                </c:pt>
                <c:pt idx="129">
                  <c:v>0.14084507042253522</c:v>
                </c:pt>
                <c:pt idx="130">
                  <c:v>0.14084507042253522</c:v>
                </c:pt>
                <c:pt idx="131">
                  <c:v>0.12910798122065728</c:v>
                </c:pt>
                <c:pt idx="132">
                  <c:v>0.14553990610328638</c:v>
                </c:pt>
                <c:pt idx="133">
                  <c:v>0.12441314553990611</c:v>
                </c:pt>
                <c:pt idx="134">
                  <c:v>0.12676056338028169</c:v>
                </c:pt>
                <c:pt idx="135">
                  <c:v>0.107981220657277</c:v>
                </c:pt>
                <c:pt idx="136">
                  <c:v>0.12910798122065728</c:v>
                </c:pt>
                <c:pt idx="137">
                  <c:v>0.11971830985915492</c:v>
                </c:pt>
                <c:pt idx="138">
                  <c:v>0.13615023474178403</c:v>
                </c:pt>
                <c:pt idx="139">
                  <c:v>0.11971830985915492</c:v>
                </c:pt>
                <c:pt idx="140">
                  <c:v>9.3896713615023469E-2</c:v>
                </c:pt>
                <c:pt idx="141">
                  <c:v>0.11737089201877934</c:v>
                </c:pt>
                <c:pt idx="142">
                  <c:v>7.9812206572769953E-2</c:v>
                </c:pt>
                <c:pt idx="143">
                  <c:v>9.6244131455399062E-2</c:v>
                </c:pt>
                <c:pt idx="144">
                  <c:v>9.154929577464789E-2</c:v>
                </c:pt>
                <c:pt idx="145">
                  <c:v>7.5117370892018781E-2</c:v>
                </c:pt>
                <c:pt idx="146">
                  <c:v>7.5117370892018781E-2</c:v>
                </c:pt>
                <c:pt idx="147">
                  <c:v>7.2769953051643188E-2</c:v>
                </c:pt>
                <c:pt idx="148">
                  <c:v>8.2159624413145546E-2</c:v>
                </c:pt>
                <c:pt idx="149">
                  <c:v>7.5117370892018781E-2</c:v>
                </c:pt>
                <c:pt idx="150">
                  <c:v>5.39906103286385E-2</c:v>
                </c:pt>
                <c:pt idx="151">
                  <c:v>8.2159624413145546E-2</c:v>
                </c:pt>
                <c:pt idx="152">
                  <c:v>8.2051282051282051E-2</c:v>
                </c:pt>
                <c:pt idx="153">
                  <c:v>6.4102564102564097E-2</c:v>
                </c:pt>
                <c:pt idx="154">
                  <c:v>4.8717948717948718E-2</c:v>
                </c:pt>
                <c:pt idx="155">
                  <c:v>7.6923076923076927E-2</c:v>
                </c:pt>
                <c:pt idx="156">
                  <c:v>5.8974358974358973E-2</c:v>
                </c:pt>
                <c:pt idx="157">
                  <c:v>8.2051282051282051E-2</c:v>
                </c:pt>
                <c:pt idx="158">
                  <c:v>8.9743589743589744E-2</c:v>
                </c:pt>
                <c:pt idx="159">
                  <c:v>7.4358974358974358E-2</c:v>
                </c:pt>
                <c:pt idx="160">
                  <c:v>9.2307692307692313E-2</c:v>
                </c:pt>
                <c:pt idx="161">
                  <c:v>7.6923076923076927E-2</c:v>
                </c:pt>
                <c:pt idx="162">
                  <c:v>6.4102564102564097E-2</c:v>
                </c:pt>
                <c:pt idx="163">
                  <c:v>7.9487179487179482E-2</c:v>
                </c:pt>
                <c:pt idx="164">
                  <c:v>8.7179487179487175E-2</c:v>
                </c:pt>
                <c:pt idx="165">
                  <c:v>5.6410256410256411E-2</c:v>
                </c:pt>
                <c:pt idx="166">
                  <c:v>6.6666666666666666E-2</c:v>
                </c:pt>
                <c:pt idx="167">
                  <c:v>6.9230769230769235E-2</c:v>
                </c:pt>
                <c:pt idx="168">
                  <c:v>7.179487179487179E-2</c:v>
                </c:pt>
                <c:pt idx="169">
                  <c:v>5.128205128205128E-2</c:v>
                </c:pt>
                <c:pt idx="170">
                  <c:v>8.2051282051282051E-2</c:v>
                </c:pt>
                <c:pt idx="171">
                  <c:v>7.179487179487179E-2</c:v>
                </c:pt>
                <c:pt idx="172">
                  <c:v>7.179487179487179E-2</c:v>
                </c:pt>
                <c:pt idx="173">
                  <c:v>7.4358974358974358E-2</c:v>
                </c:pt>
                <c:pt idx="174">
                  <c:v>9.2307692307692313E-2</c:v>
                </c:pt>
                <c:pt idx="175">
                  <c:v>6.1538461538461542E-2</c:v>
                </c:pt>
                <c:pt idx="176">
                  <c:v>8.461538461538462E-2</c:v>
                </c:pt>
                <c:pt idx="177">
                  <c:v>6.6666666666666666E-2</c:v>
                </c:pt>
                <c:pt idx="178">
                  <c:v>6.1538461538461542E-2</c:v>
                </c:pt>
                <c:pt idx="179">
                  <c:v>8.2051282051282051E-2</c:v>
                </c:pt>
                <c:pt idx="180">
                  <c:v>7.4358974358974358E-2</c:v>
                </c:pt>
                <c:pt idx="181">
                  <c:v>5.6410256410256411E-2</c:v>
                </c:pt>
                <c:pt idx="182">
                  <c:v>9.4871794871794868E-2</c:v>
                </c:pt>
                <c:pt idx="183">
                  <c:v>4.4776119402985072E-2</c:v>
                </c:pt>
                <c:pt idx="184">
                  <c:v>6.5298507462686561E-2</c:v>
                </c:pt>
                <c:pt idx="185">
                  <c:v>7.4626865671641784E-2</c:v>
                </c:pt>
                <c:pt idx="186">
                  <c:v>8.5820895522388058E-2</c:v>
                </c:pt>
                <c:pt idx="187">
                  <c:v>6.7164179104477612E-2</c:v>
                </c:pt>
                <c:pt idx="188">
                  <c:v>8.5820895522388058E-2</c:v>
                </c:pt>
                <c:pt idx="189">
                  <c:v>6.5298507462686561E-2</c:v>
                </c:pt>
                <c:pt idx="190">
                  <c:v>9.8880597014925367E-2</c:v>
                </c:pt>
                <c:pt idx="191">
                  <c:v>9.8880597014925367E-2</c:v>
                </c:pt>
                <c:pt idx="192">
                  <c:v>9.7014925373134331E-2</c:v>
                </c:pt>
                <c:pt idx="193">
                  <c:v>0.12126865671641791</c:v>
                </c:pt>
                <c:pt idx="194">
                  <c:v>9.7014925373134331E-2</c:v>
                </c:pt>
                <c:pt idx="195">
                  <c:v>0.11567164179104478</c:v>
                </c:pt>
                <c:pt idx="196">
                  <c:v>0.14365671641791045</c:v>
                </c:pt>
                <c:pt idx="197">
                  <c:v>0.11380597014925373</c:v>
                </c:pt>
                <c:pt idx="198">
                  <c:v>0.13059701492537312</c:v>
                </c:pt>
                <c:pt idx="199">
                  <c:v>0.12313432835820895</c:v>
                </c:pt>
                <c:pt idx="200">
                  <c:v>0.13619402985074627</c:v>
                </c:pt>
                <c:pt idx="201">
                  <c:v>0.13619402985074627</c:v>
                </c:pt>
                <c:pt idx="202">
                  <c:v>0.14925373134328357</c:v>
                </c:pt>
                <c:pt idx="203">
                  <c:v>0.13992537313432835</c:v>
                </c:pt>
                <c:pt idx="204">
                  <c:v>0.16791044776119404</c:v>
                </c:pt>
                <c:pt idx="205">
                  <c:v>0.1455223880597015</c:v>
                </c:pt>
                <c:pt idx="206">
                  <c:v>0.16791044776119404</c:v>
                </c:pt>
                <c:pt idx="207">
                  <c:v>0.16417910447761194</c:v>
                </c:pt>
                <c:pt idx="208">
                  <c:v>0.15485074626865672</c:v>
                </c:pt>
                <c:pt idx="209">
                  <c:v>0.17164179104477612</c:v>
                </c:pt>
                <c:pt idx="210">
                  <c:v>0.18470149253731344</c:v>
                </c:pt>
                <c:pt idx="211">
                  <c:v>0.17350746268656717</c:v>
                </c:pt>
                <c:pt idx="212">
                  <c:v>0.21455223880597016</c:v>
                </c:pt>
                <c:pt idx="213">
                  <c:v>0.20149253731343283</c:v>
                </c:pt>
                <c:pt idx="214">
                  <c:v>0.16091954022988506</c:v>
                </c:pt>
                <c:pt idx="215">
                  <c:v>0.1235632183908046</c:v>
                </c:pt>
                <c:pt idx="216">
                  <c:v>0.14080459770114942</c:v>
                </c:pt>
                <c:pt idx="217">
                  <c:v>0.14367816091954022</c:v>
                </c:pt>
                <c:pt idx="218">
                  <c:v>0.13649425287356323</c:v>
                </c:pt>
                <c:pt idx="219">
                  <c:v>0.14080459770114942</c:v>
                </c:pt>
                <c:pt idx="220">
                  <c:v>0.12931034482758622</c:v>
                </c:pt>
                <c:pt idx="221">
                  <c:v>0.15373563218390804</c:v>
                </c:pt>
                <c:pt idx="222">
                  <c:v>0.14511494252873564</c:v>
                </c:pt>
                <c:pt idx="223">
                  <c:v>0.14942528735632185</c:v>
                </c:pt>
                <c:pt idx="224">
                  <c:v>0.14080459770114942</c:v>
                </c:pt>
                <c:pt idx="225">
                  <c:v>0.14511494252873564</c:v>
                </c:pt>
                <c:pt idx="226">
                  <c:v>0.13505747126436782</c:v>
                </c:pt>
                <c:pt idx="227">
                  <c:v>0.15517241379310345</c:v>
                </c:pt>
                <c:pt idx="228">
                  <c:v>0.14798850574712644</c:v>
                </c:pt>
                <c:pt idx="229">
                  <c:v>0.13649425287356323</c:v>
                </c:pt>
                <c:pt idx="230">
                  <c:v>0.15373563218390804</c:v>
                </c:pt>
                <c:pt idx="231">
                  <c:v>0.16666666666666666</c:v>
                </c:pt>
                <c:pt idx="232">
                  <c:v>0.15660919540229884</c:v>
                </c:pt>
                <c:pt idx="233">
                  <c:v>0.1206896551724138</c:v>
                </c:pt>
                <c:pt idx="234">
                  <c:v>0.14080459770114942</c:v>
                </c:pt>
                <c:pt idx="235">
                  <c:v>0.16522988505747127</c:v>
                </c:pt>
                <c:pt idx="236">
                  <c:v>0.13649425287356323</c:v>
                </c:pt>
                <c:pt idx="237">
                  <c:v>0.15229885057471265</c:v>
                </c:pt>
                <c:pt idx="238">
                  <c:v>0.16954022988505746</c:v>
                </c:pt>
                <c:pt idx="239">
                  <c:v>0.18247126436781611</c:v>
                </c:pt>
                <c:pt idx="240">
                  <c:v>0.14942528735632185</c:v>
                </c:pt>
                <c:pt idx="241">
                  <c:v>0.18821839080459771</c:v>
                </c:pt>
                <c:pt idx="242">
                  <c:v>8.4196891191709838E-2</c:v>
                </c:pt>
                <c:pt idx="243">
                  <c:v>8.937823834196891E-2</c:v>
                </c:pt>
                <c:pt idx="244">
                  <c:v>0.10816062176165803</c:v>
                </c:pt>
                <c:pt idx="245">
                  <c:v>0.11010362694300518</c:v>
                </c:pt>
                <c:pt idx="246">
                  <c:v>0.10686528497409327</c:v>
                </c:pt>
                <c:pt idx="247">
                  <c:v>9.6502590673575125E-2</c:v>
                </c:pt>
                <c:pt idx="248">
                  <c:v>9.7797927461139897E-2</c:v>
                </c:pt>
                <c:pt idx="249">
                  <c:v>0.11204663212435233</c:v>
                </c:pt>
                <c:pt idx="250">
                  <c:v>9.7150259067357511E-2</c:v>
                </c:pt>
                <c:pt idx="251">
                  <c:v>0.10492227979274611</c:v>
                </c:pt>
                <c:pt idx="252">
                  <c:v>0.1133419689119171</c:v>
                </c:pt>
                <c:pt idx="253">
                  <c:v>0.11398963730569948</c:v>
                </c:pt>
                <c:pt idx="254">
                  <c:v>0.11658031088082901</c:v>
                </c:pt>
                <c:pt idx="255">
                  <c:v>0.10880829015544041</c:v>
                </c:pt>
                <c:pt idx="256">
                  <c:v>0.11981865284974093</c:v>
                </c:pt>
                <c:pt idx="257">
                  <c:v>0.1172279792746114</c:v>
                </c:pt>
                <c:pt idx="258">
                  <c:v>0.11139896373056994</c:v>
                </c:pt>
                <c:pt idx="259">
                  <c:v>0.1211139896373057</c:v>
                </c:pt>
                <c:pt idx="260">
                  <c:v>0.14119170984455959</c:v>
                </c:pt>
                <c:pt idx="261">
                  <c:v>0.11917098445595854</c:v>
                </c:pt>
                <c:pt idx="262">
                  <c:v>0.12564766839378239</c:v>
                </c:pt>
                <c:pt idx="263">
                  <c:v>8.4844559585492224E-2</c:v>
                </c:pt>
                <c:pt idx="264">
                  <c:v>0.11398963730569948</c:v>
                </c:pt>
                <c:pt idx="265">
                  <c:v>8.8082901554404139E-2</c:v>
                </c:pt>
                <c:pt idx="266">
                  <c:v>9.9093264248704668E-2</c:v>
                </c:pt>
                <c:pt idx="267">
                  <c:v>0.10297927461139897</c:v>
                </c:pt>
                <c:pt idx="268">
                  <c:v>9.2616580310880825E-2</c:v>
                </c:pt>
                <c:pt idx="269">
                  <c:v>0.10103626943005181</c:v>
                </c:pt>
                <c:pt idx="270">
                  <c:v>9.7797927461139897E-2</c:v>
                </c:pt>
                <c:pt idx="271">
                  <c:v>9.585492227979274E-2</c:v>
                </c:pt>
                <c:pt idx="272">
                  <c:v>0.11917098445595854</c:v>
                </c:pt>
                <c:pt idx="273">
                  <c:v>0.19863680623174293</c:v>
                </c:pt>
                <c:pt idx="274">
                  <c:v>0.20934761441090555</c:v>
                </c:pt>
                <c:pt idx="275">
                  <c:v>0.19279454722492698</c:v>
                </c:pt>
                <c:pt idx="276">
                  <c:v>0.19376825705939629</c:v>
                </c:pt>
                <c:pt idx="277">
                  <c:v>0.1830574488802337</c:v>
                </c:pt>
                <c:pt idx="278">
                  <c:v>0.19182083739045763</c:v>
                </c:pt>
                <c:pt idx="279">
                  <c:v>0.186952288218111</c:v>
                </c:pt>
                <c:pt idx="280">
                  <c:v>0.19474196689386564</c:v>
                </c:pt>
                <c:pt idx="281">
                  <c:v>0.186952288218111</c:v>
                </c:pt>
                <c:pt idx="282">
                  <c:v>0.16747809152872445</c:v>
                </c:pt>
                <c:pt idx="283">
                  <c:v>0.15579357351509251</c:v>
                </c:pt>
                <c:pt idx="284">
                  <c:v>0.16358325219084713</c:v>
                </c:pt>
                <c:pt idx="285">
                  <c:v>0.1665043816942551</c:v>
                </c:pt>
                <c:pt idx="286">
                  <c:v>0.14995131450827653</c:v>
                </c:pt>
                <c:pt idx="287">
                  <c:v>0.14216163583252192</c:v>
                </c:pt>
                <c:pt idx="288">
                  <c:v>0.16163583252190847</c:v>
                </c:pt>
                <c:pt idx="289">
                  <c:v>0.13047711781888996</c:v>
                </c:pt>
                <c:pt idx="290">
                  <c:v>0.1450827653359299</c:v>
                </c:pt>
                <c:pt idx="291">
                  <c:v>0.12852969814995133</c:v>
                </c:pt>
                <c:pt idx="292">
                  <c:v>0.12755598831548198</c:v>
                </c:pt>
                <c:pt idx="293">
                  <c:v>0.10126582278481013</c:v>
                </c:pt>
                <c:pt idx="294">
                  <c:v>0.10223953261927946</c:v>
                </c:pt>
                <c:pt idx="295">
                  <c:v>0.10223953261927946</c:v>
                </c:pt>
                <c:pt idx="296">
                  <c:v>8.7633885102239531E-2</c:v>
                </c:pt>
                <c:pt idx="297">
                  <c:v>9.8344693281402148E-2</c:v>
                </c:pt>
                <c:pt idx="298">
                  <c:v>8.9581304771178191E-2</c:v>
                </c:pt>
                <c:pt idx="299">
                  <c:v>6.621226874391431E-2</c:v>
                </c:pt>
                <c:pt idx="300">
                  <c:v>7.3028237585199607E-2</c:v>
                </c:pt>
                <c:pt idx="301">
                  <c:v>7.108081791626096E-2</c:v>
                </c:pt>
                <c:pt idx="302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0F-4758-A392-3B21BCD49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1741039"/>
        <c:axId val="1771745199"/>
      </c:lineChart>
      <c:dateAx>
        <c:axId val="17717410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1745199"/>
        <c:crosses val="autoZero"/>
        <c:auto val="1"/>
        <c:lblOffset val="100"/>
        <c:baseTimeUnit val="days"/>
      </c:dateAx>
      <c:valAx>
        <c:axId val="177174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174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[Результаты выборок и визуализации.xlsx]Слайд 5!Сводная таблица1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Динамика суммарных клиентских выплат в разрезе типов продуктов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'Слайд 5'!$G$2:$G$3</c:f>
              <c:strCache>
                <c:ptCount val="1"/>
                <c:pt idx="0">
                  <c:v>Ammo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'Слайд 5'!$F$4:$F$16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'Слайд 5'!$G$4:$G$16</c:f>
              <c:numCache>
                <c:formatCode>General</c:formatCode>
                <c:ptCount val="10"/>
                <c:pt idx="0">
                  <c:v>11500</c:v>
                </c:pt>
                <c:pt idx="1">
                  <c:v>14750</c:v>
                </c:pt>
                <c:pt idx="2">
                  <c:v>18500</c:v>
                </c:pt>
                <c:pt idx="3">
                  <c:v>16250</c:v>
                </c:pt>
                <c:pt idx="4">
                  <c:v>22250</c:v>
                </c:pt>
                <c:pt idx="5">
                  <c:v>11250</c:v>
                </c:pt>
                <c:pt idx="6">
                  <c:v>31000</c:v>
                </c:pt>
                <c:pt idx="7">
                  <c:v>32500</c:v>
                </c:pt>
                <c:pt idx="8">
                  <c:v>49000</c:v>
                </c:pt>
                <c:pt idx="9">
                  <c:v>16750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9-49A5-826C-1AA6E804771A}"/>
            </c:ext>
          </c:extLst>
        </c:ser>
        <c:ser>
          <c:idx val="1"/>
          <c:order val="1"/>
          <c:tx>
            <c:strRef>
              <c:f>'Слайд 5'!$H$2:$H$3</c:f>
              <c:strCache>
                <c:ptCount val="1"/>
                <c:pt idx="0">
                  <c:v>Currency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'Слайд 5'!$F$4:$F$16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'Слайд 5'!$H$4:$H$16</c:f>
              <c:numCache>
                <c:formatCode>General</c:formatCode>
                <c:ptCount val="10"/>
                <c:pt idx="0">
                  <c:v>12930</c:v>
                </c:pt>
                <c:pt idx="1">
                  <c:v>39170</c:v>
                </c:pt>
                <c:pt idx="2">
                  <c:v>25580</c:v>
                </c:pt>
                <c:pt idx="3">
                  <c:v>31280</c:v>
                </c:pt>
                <c:pt idx="4">
                  <c:v>24580</c:v>
                </c:pt>
                <c:pt idx="5">
                  <c:v>26730</c:v>
                </c:pt>
                <c:pt idx="6">
                  <c:v>49300</c:v>
                </c:pt>
                <c:pt idx="7">
                  <c:v>45180</c:v>
                </c:pt>
                <c:pt idx="8">
                  <c:v>106440</c:v>
                </c:pt>
                <c:pt idx="9">
                  <c:v>39800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9-49A5-826C-1AA6E804771A}"/>
            </c:ext>
          </c:extLst>
        </c:ser>
        <c:ser>
          <c:idx val="2"/>
          <c:order val="2"/>
          <c:tx>
            <c:strRef>
              <c:f>'Слайд 5'!$I$2:$I$3</c:f>
              <c:strCache>
                <c:ptCount val="1"/>
                <c:pt idx="0">
                  <c:v>Materials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'Слайд 5'!$F$4:$F$16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'Слайд 5'!$I$4:$I$16</c:f>
              <c:numCache>
                <c:formatCode>General</c:formatCode>
                <c:ptCount val="10"/>
                <c:pt idx="0">
                  <c:v>14700</c:v>
                </c:pt>
                <c:pt idx="1">
                  <c:v>11900</c:v>
                </c:pt>
                <c:pt idx="2">
                  <c:v>21800</c:v>
                </c:pt>
                <c:pt idx="3">
                  <c:v>18800</c:v>
                </c:pt>
                <c:pt idx="4">
                  <c:v>20400</c:v>
                </c:pt>
                <c:pt idx="5">
                  <c:v>18800</c:v>
                </c:pt>
                <c:pt idx="6">
                  <c:v>27000</c:v>
                </c:pt>
                <c:pt idx="7">
                  <c:v>30200</c:v>
                </c:pt>
                <c:pt idx="8">
                  <c:v>46500</c:v>
                </c:pt>
                <c:pt idx="9">
                  <c:v>26500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9-49A5-826C-1AA6E804771A}"/>
            </c:ext>
          </c:extLst>
        </c:ser>
        <c:ser>
          <c:idx val="3"/>
          <c:order val="3"/>
          <c:tx>
            <c:strRef>
              <c:f>'Слайд 5'!$J$2:$J$3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'Слайд 5'!$F$4:$F$16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'Слайд 5'!$J$4:$J$16</c:f>
              <c:numCache>
                <c:formatCode>General</c:formatCode>
                <c:ptCount val="10"/>
                <c:pt idx="0">
                  <c:v>9485</c:v>
                </c:pt>
                <c:pt idx="1">
                  <c:v>11681</c:v>
                </c:pt>
                <c:pt idx="2">
                  <c:v>5291</c:v>
                </c:pt>
                <c:pt idx="3">
                  <c:v>9584</c:v>
                </c:pt>
                <c:pt idx="4">
                  <c:v>10782</c:v>
                </c:pt>
                <c:pt idx="5">
                  <c:v>5691</c:v>
                </c:pt>
                <c:pt idx="6">
                  <c:v>15374</c:v>
                </c:pt>
                <c:pt idx="7">
                  <c:v>15374</c:v>
                </c:pt>
                <c:pt idx="8">
                  <c:v>13578</c:v>
                </c:pt>
                <c:pt idx="9">
                  <c:v>10281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9-49A5-826C-1AA6E804771A}"/>
            </c:ext>
          </c:extLst>
        </c:ser>
        <c:ser>
          <c:idx val="4"/>
          <c:order val="4"/>
          <c:tx>
            <c:strRef>
              <c:f>'Слайд 5'!$K$2:$K$3</c:f>
              <c:strCache>
                <c:ptCount val="1"/>
                <c:pt idx="0">
                  <c:v>Weapon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'Слайд 5'!$F$4:$F$16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'Слайд 5'!$K$4:$K$16</c:f>
              <c:numCache>
                <c:formatCode>General</c:formatCode>
                <c:ptCount val="10"/>
                <c:pt idx="0">
                  <c:v>798</c:v>
                </c:pt>
                <c:pt idx="1">
                  <c:v>1270</c:v>
                </c:pt>
                <c:pt idx="2">
                  <c:v>2039</c:v>
                </c:pt>
                <c:pt idx="3">
                  <c:v>599</c:v>
                </c:pt>
                <c:pt idx="4">
                  <c:v>1807</c:v>
                </c:pt>
                <c:pt idx="5">
                  <c:v>609</c:v>
                </c:pt>
                <c:pt idx="6">
                  <c:v>4064</c:v>
                </c:pt>
                <c:pt idx="7">
                  <c:v>1258</c:v>
                </c:pt>
                <c:pt idx="8">
                  <c:v>3670</c:v>
                </c:pt>
                <c:pt idx="9">
                  <c:v>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9-49A5-826C-1AA6E8047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21599"/>
        <c:axId val="108527839"/>
      </c:lineChart>
      <c:catAx>
        <c:axId val="10852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527839"/>
        <c:crosses val="autoZero"/>
        <c:auto val="1"/>
        <c:lblAlgn val="ctr"/>
        <c:lblOffset val="100"/>
        <c:noMultiLvlLbl val="0"/>
      </c:catAx>
      <c:valAx>
        <c:axId val="10852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baseline="0">
                    <a:effectLst/>
                  </a:rPr>
                  <a:t>Выручка, руб.</a:t>
                </a:r>
                <a:endParaRPr lang="ru-RU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52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Динамика среднего количества приобретаемых кристаллов на одну покупку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'Слайд 6'!$B$1</c:f>
              <c:strCache>
                <c:ptCount val="1"/>
                <c:pt idx="0">
                  <c:v>Среднее количество приобретаемых кристаллов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'Слайд 6'!$A$2:$A$11</c:f>
              <c:strCache>
                <c:ptCount val="10"/>
                <c:pt idx="0">
                  <c:v>07.2022</c:v>
                </c:pt>
                <c:pt idx="1">
                  <c:v>08.2022</c:v>
                </c:pt>
                <c:pt idx="2">
                  <c:v>09.2022</c:v>
                </c:pt>
                <c:pt idx="3">
                  <c:v>10.2022</c:v>
                </c:pt>
                <c:pt idx="4">
                  <c:v>11.2022</c:v>
                </c:pt>
                <c:pt idx="5">
                  <c:v>12.2022</c:v>
                </c:pt>
                <c:pt idx="6">
                  <c:v>01.2023</c:v>
                </c:pt>
                <c:pt idx="7">
                  <c:v>02.2023</c:v>
                </c:pt>
                <c:pt idx="8">
                  <c:v>03.2023</c:v>
                </c:pt>
                <c:pt idx="9">
                  <c:v>04.2023</c:v>
                </c:pt>
              </c:strCache>
            </c:strRef>
          </c:cat>
          <c:val>
            <c:numRef>
              <c:f>'Слайд 6'!$B$2:$B$11</c:f>
              <c:numCache>
                <c:formatCode>0.00</c:formatCode>
                <c:ptCount val="10"/>
                <c:pt idx="0">
                  <c:v>29</c:v>
                </c:pt>
                <c:pt idx="1">
                  <c:v>31.5625</c:v>
                </c:pt>
                <c:pt idx="2">
                  <c:v>32.173913043478258</c:v>
                </c:pt>
                <c:pt idx="3">
                  <c:v>28</c:v>
                </c:pt>
                <c:pt idx="4">
                  <c:v>29.6</c:v>
                </c:pt>
                <c:pt idx="5">
                  <c:v>30</c:v>
                </c:pt>
                <c:pt idx="6">
                  <c:v>19.117647058823529</c:v>
                </c:pt>
                <c:pt idx="7">
                  <c:v>17.352941176470587</c:v>
                </c:pt>
                <c:pt idx="8">
                  <c:v>22.051282051282051</c:v>
                </c:pt>
                <c:pt idx="9">
                  <c:v>23.076923076923077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9-4EAD-AFAC-53FE72248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1756303"/>
        <c:axId val="1305331983"/>
      </c:lineChart>
      <c:lineChart>
        <c:grouping val="standard"/>
        <c:varyColors val="0"/>
        <c:ser>
          <c:idx val="1"/>
          <c:order val="1"/>
          <c:tx>
            <c:strRef>
              <c:f>'Слайд 6'!$C$1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'Слайд 6'!$A$2:$A$11</c:f>
              <c:strCache>
                <c:ptCount val="10"/>
                <c:pt idx="0">
                  <c:v>07.2022</c:v>
                </c:pt>
                <c:pt idx="1">
                  <c:v>08.2022</c:v>
                </c:pt>
                <c:pt idx="2">
                  <c:v>09.2022</c:v>
                </c:pt>
                <c:pt idx="3">
                  <c:v>10.2022</c:v>
                </c:pt>
                <c:pt idx="4">
                  <c:v>11.2022</c:v>
                </c:pt>
                <c:pt idx="5">
                  <c:v>12.2022</c:v>
                </c:pt>
                <c:pt idx="6">
                  <c:v>01.2023</c:v>
                </c:pt>
                <c:pt idx="7">
                  <c:v>02.2023</c:v>
                </c:pt>
                <c:pt idx="8">
                  <c:v>03.2023</c:v>
                </c:pt>
                <c:pt idx="9">
                  <c:v>04.2023</c:v>
                </c:pt>
              </c:strCache>
            </c:strRef>
          </c:cat>
          <c:val>
            <c:numRef>
              <c:f>'Слайд 6'!$C$2:$C$11</c:f>
              <c:numCache>
                <c:formatCode>General</c:formatCode>
                <c:ptCount val="10"/>
                <c:pt idx="0">
                  <c:v>4930</c:v>
                </c:pt>
                <c:pt idx="1">
                  <c:v>17170</c:v>
                </c:pt>
                <c:pt idx="2">
                  <c:v>12580</c:v>
                </c:pt>
                <c:pt idx="3">
                  <c:v>14280</c:v>
                </c:pt>
                <c:pt idx="4">
                  <c:v>12580</c:v>
                </c:pt>
                <c:pt idx="5">
                  <c:v>11730</c:v>
                </c:pt>
                <c:pt idx="6">
                  <c:v>14300</c:v>
                </c:pt>
                <c:pt idx="7">
                  <c:v>12980</c:v>
                </c:pt>
                <c:pt idx="8">
                  <c:v>37840</c:v>
                </c:pt>
                <c:pt idx="9">
                  <c:v>13200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9-4EAD-AFAC-53FE72248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8276191"/>
        <c:axId val="1618258719"/>
      </c:lineChart>
      <c:catAx>
        <c:axId val="1361756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layout>
            <c:manualLayout>
              <c:xMode val="edge"/>
              <c:yMode val="edge"/>
              <c:x val="0.46975517906497105"/>
              <c:y val="0.803271821036395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5331983"/>
        <c:crosses val="autoZero"/>
        <c:auto val="1"/>
        <c:lblAlgn val="ctr"/>
        <c:lblOffset val="100"/>
        <c:noMultiLvlLbl val="1"/>
      </c:catAx>
      <c:valAx>
        <c:axId val="130533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кристаллов</a:t>
                </a:r>
              </a:p>
            </c:rich>
          </c:tx>
          <c:layout>
            <c:manualLayout>
              <c:xMode val="edge"/>
              <c:yMode val="edge"/>
              <c:x val="1.307339896404784E-2"/>
              <c:y val="0.236556194851520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1756303"/>
        <c:crosses val="autoZero"/>
        <c:crossBetween val="between"/>
      </c:valAx>
      <c:valAx>
        <c:axId val="16182587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Выручка, руб.</a:t>
                </a:r>
              </a:p>
            </c:rich>
          </c:tx>
          <c:layout>
            <c:manualLayout>
              <c:xMode val="edge"/>
              <c:yMode val="edge"/>
              <c:x val="0.9589872050723246"/>
              <c:y val="0.314204150147430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8276191"/>
        <c:crosses val="max"/>
        <c:crossBetween val="between"/>
      </c:valAx>
      <c:catAx>
        <c:axId val="1618276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8258719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средней выручки на одного</a:t>
            </a:r>
            <a:r>
              <a:rPr lang="ru-RU" baseline="0"/>
              <a:t> человека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'Слайд 7'!$D$1</c:f>
              <c:strCache>
                <c:ptCount val="1"/>
                <c:pt idx="0">
                  <c:v>Средняя выручка на одного человека за все время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'Слайд 7'!$A$2:$A$10</c:f>
              <c:strCache>
                <c:ptCount val="9"/>
                <c:pt idx="0">
                  <c:v>07.2022</c:v>
                </c:pt>
                <c:pt idx="1">
                  <c:v>08.2022</c:v>
                </c:pt>
                <c:pt idx="2">
                  <c:v>09.2022</c:v>
                </c:pt>
                <c:pt idx="3">
                  <c:v>10.2022</c:v>
                </c:pt>
                <c:pt idx="4">
                  <c:v>11.2022</c:v>
                </c:pt>
                <c:pt idx="5">
                  <c:v>12.2022</c:v>
                </c:pt>
                <c:pt idx="6">
                  <c:v>01.2023</c:v>
                </c:pt>
                <c:pt idx="7">
                  <c:v>02.2023</c:v>
                </c:pt>
                <c:pt idx="8">
                  <c:v>03.2023</c:v>
                </c:pt>
              </c:strCache>
            </c:strRef>
          </c:cat>
          <c:val>
            <c:numRef>
              <c:f>'Слайд 7'!$D$2:$D$10</c:f>
              <c:numCache>
                <c:formatCode>0.00</c:formatCode>
                <c:ptCount val="9"/>
                <c:pt idx="0">
                  <c:v>1185.4647887323943</c:v>
                </c:pt>
                <c:pt idx="1">
                  <c:v>855.34210526315792</c:v>
                </c:pt>
                <c:pt idx="2">
                  <c:v>1052.5853658536585</c:v>
                </c:pt>
                <c:pt idx="3">
                  <c:v>929.24137931034488</c:v>
                </c:pt>
                <c:pt idx="4">
                  <c:v>1048.2987012987012</c:v>
                </c:pt>
                <c:pt idx="5">
                  <c:v>992.25301204819277</c:v>
                </c:pt>
                <c:pt idx="6">
                  <c:v>1021.2598425196851</c:v>
                </c:pt>
                <c:pt idx="7">
                  <c:v>1155.2177419354839</c:v>
                </c:pt>
                <c:pt idx="8">
                  <c:v>1087.4320388349515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9-458D-832B-FBECA47A4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22320"/>
        <c:axId val="28938960"/>
      </c:lineChart>
      <c:lineChart>
        <c:grouping val="standard"/>
        <c:varyColors val="0"/>
        <c:ser>
          <c:idx val="1"/>
          <c:order val="1"/>
          <c:tx>
            <c:strRef>
              <c:f>'Слайд 7'!$F$1</c:f>
              <c:strCache>
                <c:ptCount val="1"/>
                <c:pt idx="0">
                  <c:v>Средняя выручка на одного человека за месяц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'Слайд 7'!$A$2:$A$10</c:f>
              <c:strCache>
                <c:ptCount val="9"/>
                <c:pt idx="0">
                  <c:v>07.2022</c:v>
                </c:pt>
                <c:pt idx="1">
                  <c:v>08.2022</c:v>
                </c:pt>
                <c:pt idx="2">
                  <c:v>09.2022</c:v>
                </c:pt>
                <c:pt idx="3">
                  <c:v>10.2022</c:v>
                </c:pt>
                <c:pt idx="4">
                  <c:v>11.2022</c:v>
                </c:pt>
                <c:pt idx="5">
                  <c:v>12.2022</c:v>
                </c:pt>
                <c:pt idx="6">
                  <c:v>01.2023</c:v>
                </c:pt>
                <c:pt idx="7">
                  <c:v>02.2023</c:v>
                </c:pt>
                <c:pt idx="8">
                  <c:v>03.2023</c:v>
                </c:pt>
              </c:strCache>
            </c:strRef>
          </c:cat>
          <c:val>
            <c:numRef>
              <c:f>'Слайд 7'!$F$2:$F$10</c:f>
              <c:numCache>
                <c:formatCode>0.00</c:formatCode>
                <c:ptCount val="9"/>
                <c:pt idx="0">
                  <c:v>118.15263675073697</c:v>
                </c:pt>
                <c:pt idx="1">
                  <c:v>95.038011695906434</c:v>
                </c:pt>
                <c:pt idx="2">
                  <c:v>132.12368609041738</c:v>
                </c:pt>
                <c:pt idx="3">
                  <c:v>133.3839300445471</c:v>
                </c:pt>
                <c:pt idx="4">
                  <c:v>176.6795563986575</c:v>
                </c:pt>
                <c:pt idx="5">
                  <c:v>201.13236730706609</c:v>
                </c:pt>
                <c:pt idx="6">
                  <c:v>261.86149808197052</c:v>
                </c:pt>
                <c:pt idx="7">
                  <c:v>402.98293323330836</c:v>
                </c:pt>
                <c:pt idx="8">
                  <c:v>562.4648476732508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9-458D-832B-FBECA47A4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934912"/>
        <c:axId val="666940736"/>
      </c:lineChart>
      <c:catAx>
        <c:axId val="28922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Когорты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38960"/>
        <c:crosses val="autoZero"/>
        <c:auto val="1"/>
        <c:lblAlgn val="ctr"/>
        <c:lblOffset val="100"/>
        <c:noMultiLvlLbl val="1"/>
      </c:catAx>
      <c:valAx>
        <c:axId val="2893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Средняя  выручка за все 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22320"/>
        <c:crosses val="autoZero"/>
        <c:crossBetween val="between"/>
      </c:valAx>
      <c:valAx>
        <c:axId val="6669407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Средняя выручка в 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6934912"/>
        <c:crosses val="max"/>
        <c:crossBetween val="between"/>
      </c:valAx>
      <c:catAx>
        <c:axId val="666934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6940736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количества лояльных пользователей по месяцам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10.1'!$B$1</c:f>
              <c:strCache>
                <c:ptCount val="1"/>
                <c:pt idx="0">
                  <c:v>LMAU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'Слайд 10.1'!$A$2:$A$11</c:f>
              <c:strCache>
                <c:ptCount val="10"/>
                <c:pt idx="0">
                  <c:v>07.2022</c:v>
                </c:pt>
                <c:pt idx="1">
                  <c:v>08.2022</c:v>
                </c:pt>
                <c:pt idx="2">
                  <c:v>09.2022</c:v>
                </c:pt>
                <c:pt idx="3">
                  <c:v>10.2022</c:v>
                </c:pt>
                <c:pt idx="4">
                  <c:v>11.2022</c:v>
                </c:pt>
                <c:pt idx="5">
                  <c:v>12.2022</c:v>
                </c:pt>
                <c:pt idx="6">
                  <c:v>01.2023</c:v>
                </c:pt>
                <c:pt idx="7">
                  <c:v>02.2023</c:v>
                </c:pt>
                <c:pt idx="8">
                  <c:v>03.2023</c:v>
                </c:pt>
                <c:pt idx="9">
                  <c:v>04.2023</c:v>
                </c:pt>
              </c:strCache>
            </c:strRef>
          </c:cat>
          <c:val>
            <c:numRef>
              <c:f>'Слайд 10.1'!$B$2:$B$11</c:f>
              <c:numCache>
                <c:formatCode>General</c:formatCode>
                <c:ptCount val="10"/>
                <c:pt idx="0">
                  <c:v>77</c:v>
                </c:pt>
                <c:pt idx="1">
                  <c:v>148</c:v>
                </c:pt>
                <c:pt idx="2">
                  <c:v>142</c:v>
                </c:pt>
                <c:pt idx="3">
                  <c:v>133</c:v>
                </c:pt>
                <c:pt idx="4">
                  <c:v>158</c:v>
                </c:pt>
                <c:pt idx="5">
                  <c:v>154</c:v>
                </c:pt>
                <c:pt idx="6">
                  <c:v>213</c:v>
                </c:pt>
                <c:pt idx="7">
                  <c:v>250</c:v>
                </c:pt>
                <c:pt idx="8">
                  <c:v>532</c:v>
                </c:pt>
                <c:pt idx="9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B-4D70-A752-7C4FDA39DE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002031"/>
        <c:axId val="171999535"/>
      </c:barChart>
      <c:dateAx>
        <c:axId val="172002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999535"/>
        <c:crosses val="autoZero"/>
        <c:auto val="0"/>
        <c:lblOffset val="100"/>
        <c:baseTimeUnit val="months"/>
      </c:dateAx>
      <c:valAx>
        <c:axId val="1719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LMAU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00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количества лояльных пользователей по месяцам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10.2'!$B$1</c:f>
              <c:strCache>
                <c:ptCount val="1"/>
                <c:pt idx="0">
                  <c:v>LMAU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'Слайд 10.2'!$A$2:$A$11</c:f>
              <c:strCache>
                <c:ptCount val="10"/>
                <c:pt idx="0">
                  <c:v>07.2022</c:v>
                </c:pt>
                <c:pt idx="1">
                  <c:v>08.2022</c:v>
                </c:pt>
                <c:pt idx="2">
                  <c:v>09.2022</c:v>
                </c:pt>
                <c:pt idx="3">
                  <c:v>10.2022</c:v>
                </c:pt>
                <c:pt idx="4">
                  <c:v>11.2022</c:v>
                </c:pt>
                <c:pt idx="5">
                  <c:v>12.2022</c:v>
                </c:pt>
                <c:pt idx="6">
                  <c:v>01.2023</c:v>
                </c:pt>
                <c:pt idx="7">
                  <c:v>02.2023</c:v>
                </c:pt>
                <c:pt idx="8">
                  <c:v>03.2023</c:v>
                </c:pt>
                <c:pt idx="9">
                  <c:v>04.2023</c:v>
                </c:pt>
              </c:strCache>
            </c:strRef>
          </c:cat>
          <c:val>
            <c:numRef>
              <c:f>'Слайд 10.2'!$B$2:$B$11</c:f>
              <c:numCache>
                <c:formatCode>General</c:formatCode>
                <c:ptCount val="10"/>
                <c:pt idx="0">
                  <c:v>19</c:v>
                </c:pt>
                <c:pt idx="1">
                  <c:v>32</c:v>
                </c:pt>
                <c:pt idx="2">
                  <c:v>29</c:v>
                </c:pt>
                <c:pt idx="3">
                  <c:v>35</c:v>
                </c:pt>
                <c:pt idx="4">
                  <c:v>38</c:v>
                </c:pt>
                <c:pt idx="5">
                  <c:v>38</c:v>
                </c:pt>
                <c:pt idx="6">
                  <c:v>64</c:v>
                </c:pt>
                <c:pt idx="7">
                  <c:v>90</c:v>
                </c:pt>
                <c:pt idx="8">
                  <c:v>184</c:v>
                </c:pt>
                <c:pt idx="9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33-4AA4-923D-0AC4476189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5147871"/>
        <c:axId val="885144543"/>
      </c:barChart>
      <c:catAx>
        <c:axId val="8851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5144543"/>
        <c:crosses val="autoZero"/>
        <c:auto val="1"/>
        <c:lblAlgn val="ctr"/>
        <c:lblOffset val="100"/>
        <c:noMultiLvlLbl val="1"/>
      </c:catAx>
      <c:valAx>
        <c:axId val="8851445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LMAU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514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количества лояльных пользователей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11.1'!$B$1</c:f>
              <c:strCache>
                <c:ptCount val="1"/>
                <c:pt idx="0">
                  <c:v>LMAU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'Слайд 11.1'!$A$2:$A$11</c:f>
              <c:strCache>
                <c:ptCount val="10"/>
                <c:pt idx="0">
                  <c:v>07.2022</c:v>
                </c:pt>
                <c:pt idx="1">
                  <c:v>08.2022</c:v>
                </c:pt>
                <c:pt idx="2">
                  <c:v>09.2022</c:v>
                </c:pt>
                <c:pt idx="3">
                  <c:v>10.2022</c:v>
                </c:pt>
                <c:pt idx="4">
                  <c:v>11.2022</c:v>
                </c:pt>
                <c:pt idx="5">
                  <c:v>12.2022</c:v>
                </c:pt>
                <c:pt idx="6">
                  <c:v>01.2023</c:v>
                </c:pt>
                <c:pt idx="7">
                  <c:v>02.2023</c:v>
                </c:pt>
                <c:pt idx="8">
                  <c:v>03.2023</c:v>
                </c:pt>
                <c:pt idx="9">
                  <c:v>04.2023</c:v>
                </c:pt>
              </c:strCache>
            </c:strRef>
          </c:cat>
          <c:val>
            <c:numRef>
              <c:f>'Слайд 11.1'!$B$2:$B$11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16</c:v>
                </c:pt>
                <c:pt idx="6">
                  <c:v>22</c:v>
                </c:pt>
                <c:pt idx="7">
                  <c:v>29</c:v>
                </c:pt>
                <c:pt idx="8">
                  <c:v>61</c:v>
                </c:pt>
                <c:pt idx="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11-4987-B334-F266AE84A8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7137840"/>
        <c:axId val="1047138672"/>
      </c:barChart>
      <c:catAx>
        <c:axId val="10471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7138672"/>
        <c:crosses val="autoZero"/>
        <c:auto val="1"/>
        <c:lblAlgn val="ctr"/>
        <c:lblOffset val="100"/>
        <c:noMultiLvlLbl val="0"/>
      </c:catAx>
      <c:valAx>
        <c:axId val="104713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LMAU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71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количества лояльных пользователей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'Слайд 11.2'!$B$1</c:f>
              <c:strCache>
                <c:ptCount val="1"/>
                <c:pt idx="0">
                  <c:v>LMAU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'Слайд 11.2'!$A$2:$A$11</c:f>
              <c:strCache>
                <c:ptCount val="10"/>
                <c:pt idx="0">
                  <c:v>07.2022</c:v>
                </c:pt>
                <c:pt idx="1">
                  <c:v>08.2022</c:v>
                </c:pt>
                <c:pt idx="2">
                  <c:v>09.2022</c:v>
                </c:pt>
                <c:pt idx="3">
                  <c:v>10.2022</c:v>
                </c:pt>
                <c:pt idx="4">
                  <c:v>11.2022</c:v>
                </c:pt>
                <c:pt idx="5">
                  <c:v>12.2022</c:v>
                </c:pt>
                <c:pt idx="6">
                  <c:v>01.2023</c:v>
                </c:pt>
                <c:pt idx="7">
                  <c:v>02.2023</c:v>
                </c:pt>
                <c:pt idx="8">
                  <c:v>03.2023</c:v>
                </c:pt>
                <c:pt idx="9">
                  <c:v>04.2023</c:v>
                </c:pt>
              </c:strCache>
            </c:strRef>
          </c:cat>
          <c:val>
            <c:numRef>
              <c:f>'Слайд 11.2'!$B$2:$B$11</c:f>
              <c:numCache>
                <c:formatCode>General</c:formatCode>
                <c:ptCount val="10"/>
                <c:pt idx="0">
                  <c:v>91</c:v>
                </c:pt>
                <c:pt idx="1">
                  <c:v>170</c:v>
                </c:pt>
                <c:pt idx="2">
                  <c:v>161</c:v>
                </c:pt>
                <c:pt idx="3">
                  <c:v>156</c:v>
                </c:pt>
                <c:pt idx="4">
                  <c:v>179</c:v>
                </c:pt>
                <c:pt idx="5">
                  <c:v>176</c:v>
                </c:pt>
                <c:pt idx="6">
                  <c:v>255</c:v>
                </c:pt>
                <c:pt idx="7">
                  <c:v>311</c:v>
                </c:pt>
                <c:pt idx="8">
                  <c:v>655</c:v>
                </c:pt>
                <c:pt idx="9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20-4492-8316-E151C00F33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1137920"/>
        <c:axId val="1311140416"/>
      </c:barChart>
      <c:catAx>
        <c:axId val="1311137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1140416"/>
        <c:crosses val="autoZero"/>
        <c:auto val="1"/>
        <c:lblAlgn val="ctr"/>
        <c:lblOffset val="100"/>
        <c:noMultiLvlLbl val="0"/>
      </c:catAx>
      <c:valAx>
        <c:axId val="131114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LMAU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113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Распределение средних выплат за один месяц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Распределение средних выплат за один месяц</a:t>
          </a:r>
        </a:p>
      </cx:txPr>
    </cx:title>
    <cx:plotArea>
      <cx:plotAreaRegion>
        <cx:series layoutId="clusteredColumn" uniqueId="{2B889597-EED9-4247-ABB2-D33E9856D6B2}">
          <cx:tx>
            <cx:txData>
              <cx:f>_xlchart.v1.0</cx:f>
              <cx:v>ltr_month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000"/>
            </cx:binning>
          </cx:layoutPr>
        </cx:series>
      </cx:plotAreaRegion>
      <cx:axis id="0">
        <cx:catScaling gapWidth="0"/>
        <cx:title>
          <cx:tx>
            <cx:txData>
              <cx:v>Размер средней выплаты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Размер средней выплаты</a:t>
              </a:r>
            </a:p>
          </cx:txPr>
        </cx:title>
        <cx:tickLabels/>
        <cx:numFmt formatCode="# ##0" sourceLinked="0"/>
      </cx:axis>
      <cx:axis id="1">
        <cx:valScaling/>
        <cx:title>
          <cx:tx>
            <cx:txData>
              <cx:v>Количество пользователей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Количество пользователей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1</xdr:row>
      <xdr:rowOff>148590</xdr:rowOff>
    </xdr:from>
    <xdr:to>
      <xdr:col>13</xdr:col>
      <xdr:colOff>487680</xdr:colOff>
      <xdr:row>19</xdr:row>
      <xdr:rowOff>53340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652E21E-A01C-4EC0-85BE-DDE16CB5B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0</xdr:row>
      <xdr:rowOff>171450</xdr:rowOff>
    </xdr:from>
    <xdr:to>
      <xdr:col>12</xdr:col>
      <xdr:colOff>548640</xdr:colOff>
      <xdr:row>15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B906E0D-8144-44CA-8B5C-484F25045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19050</xdr:rowOff>
    </xdr:from>
    <xdr:to>
      <xdr:col>21</xdr:col>
      <xdr:colOff>472440</xdr:colOff>
      <xdr:row>16</xdr:row>
      <xdr:rowOff>99060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DFA9B26-7AE0-4B9F-8BB8-7CEA125CB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171450</xdr:rowOff>
    </xdr:from>
    <xdr:to>
      <xdr:col>21</xdr:col>
      <xdr:colOff>487680</xdr:colOff>
      <xdr:row>32</xdr:row>
      <xdr:rowOff>53340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2D6C11D-D715-43D4-A720-2CFE6F420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16</xdr:row>
      <xdr:rowOff>179070</xdr:rowOff>
    </xdr:from>
    <xdr:to>
      <xdr:col>14</xdr:col>
      <xdr:colOff>335280</xdr:colOff>
      <xdr:row>34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CADE058-AF95-4EA4-B9FE-3974CC655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0</xdr:row>
      <xdr:rowOff>179070</xdr:rowOff>
    </xdr:from>
    <xdr:to>
      <xdr:col>16</xdr:col>
      <xdr:colOff>53340</xdr:colOff>
      <xdr:row>12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11A3B8D-2989-4053-A034-3DFF2F803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0</xdr:row>
      <xdr:rowOff>148590</xdr:rowOff>
    </xdr:from>
    <xdr:to>
      <xdr:col>18</xdr:col>
      <xdr:colOff>83820</xdr:colOff>
      <xdr:row>16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58CC1C-5898-473F-BDFB-04E2795A1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34290</xdr:rowOff>
    </xdr:from>
    <xdr:to>
      <xdr:col>11</xdr:col>
      <xdr:colOff>274320</xdr:colOff>
      <xdr:row>18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BA5F705-BFC5-4DCC-95DA-DD9A79DA2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11</xdr:col>
      <xdr:colOff>289560</xdr:colOff>
      <xdr:row>18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A3EAB90-0ADD-4B84-9749-854F56B65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0</xdr:rowOff>
    </xdr:from>
    <xdr:to>
      <xdr:col>10</xdr:col>
      <xdr:colOff>297180</xdr:colOff>
      <xdr:row>15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951B82A-C4C8-4C1B-96E7-3A47BD97F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7C77575-B9B6-4620-A85A-C36210292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76200</xdr:colOff>
      <xdr:row>17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A9EA8FA0-6467-4617-8B88-8DD7D48D72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0780" y="182880"/>
              <a:ext cx="5562600" cy="3002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.%20&#1044;&#1080;&#1085;&#1072;&#1084;&#1080;&#1082;&#1072;%20&#1087;&#1086;&#1083;&#1100;&#1079;&#1086;&#1074;&#1072;&#1090;&#1077;&#1083;&#1100;&#1089;&#1082;&#1086;&#1081;%20&#1073;&#1072;&#1079;&#109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.%20&#1044;&#1080;&#1085;&#1072;&#1084;&#1080;&#1082;&#1072;%20&#1089;&#1088;&#1077;&#1076;&#1085;&#1077;&#1081;%20&#1076;&#1083;&#1080;&#1090;&#1077;&#1083;&#1100;&#1085;&#1086;&#1089;&#1090;&#1080;%20&#1086;&#1076;&#1085;&#1086;&#1081;%20&#1080;&#1075;&#1088;&#1086;&#1074;&#1086;&#1081;%20&#1089;&#1077;&#1089;&#1089;&#1080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.%20&#1052;&#1072;&#1088;&#1082;&#1077;&#1090;&#1080;&#1085;&#1075;&#1086;&#1074;&#1072;&#1103;%20&#1072;&#1082;&#1094;&#1080;&#1103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&#1040;&#1085;&#1072;&#1083;&#1080;&#1079;%20&#1087;&#1086;&#1074;&#1099;&#1096;&#1077;&#1085;&#1080;&#1103;%20&#1094;&#1077;&#1085;&#1099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7.%20&#1040;&#1085;&#1072;&#1083;&#1080;&#1079;%20&#1089;&#1088;&#1077;&#1076;&#1085;&#1080;&#1093;%20&#1087;&#1083;&#1072;&#1090;&#1077;&#1078;&#1077;&#1081;%20&#1087;&#1086;%20&#1082;&#1086;&#1075;&#1086;&#1088;&#1090;&#1072;&#1084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0.%20&#1044;&#1080;&#1085;&#1072;&#1084;&#1080;&#1082;&#1072;%20&#1083;&#1086;&#1103;&#1083;&#1100;&#1085;&#1099;&#1093;%20&#1087;&#1086;&#1083;&#1100;&#1079;&#1086;&#1074;&#1072;&#1090;&#1077;&#1083;&#1077;&#1081;%20(&#1091;&#1089;&#1083;&#1086;&#1074;&#1080;&#1077;%20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0.%20&#1044;&#1080;&#1085;&#1072;&#1084;&#1080;&#1082;&#1072;%20&#1083;&#1086;&#1103;&#1083;&#1100;&#1085;&#1099;&#1093;%20&#1087;&#1086;&#1083;&#1100;&#1079;&#1086;&#1074;&#1072;&#1090;&#1077;&#1083;&#1077;&#1081;%20(&#1091;&#1089;&#1083;&#1086;&#1074;&#1080;&#1077;%202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1.%20&#1044;&#1080;&#1085;&#1072;&#1084;&#1080;&#1082;&#1072;%20&#1083;&#1086;&#1103;&#1083;&#1100;&#1085;&#1099;&#1093;%20&#1087;&#1086;&#1083;&#1100;&#1079;&#1086;&#1074;&#1072;&#1090;&#1077;&#1083;&#1077;&#1081;%20(2%20&#1091;&#1089;&#1083;&#1086;&#1074;&#1080;&#1103;%20&#1074;&#1084;&#1077;&#1089;&#1090;&#1077;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1.%20&#1044;&#1080;&#1085;&#1072;&#1084;&#1080;&#1082;&#1072;%20&#1083;&#1086;&#1103;&#1083;&#1100;&#1085;&#1099;&#1093;%20&#1087;&#1086;&#1083;&#1100;&#1079;&#1086;&#1074;&#1072;&#1090;&#1077;&#1083;&#1077;&#1081;%20(1%20&#1080;&#1079;%202%20&#1091;&#1089;&#1083;&#1086;&#1074;&#1080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зультат запроса"/>
    </sheetNames>
    <sheetDataSet>
      <sheetData sheetId="0">
        <row r="1">
          <cell r="B1" t="str">
            <v>count_users</v>
          </cell>
        </row>
        <row r="2">
          <cell r="A2">
            <v>44743</v>
          </cell>
          <cell r="B2">
            <v>259</v>
          </cell>
        </row>
        <row r="3">
          <cell r="A3">
            <v>44774</v>
          </cell>
          <cell r="B3">
            <v>235</v>
          </cell>
        </row>
        <row r="4">
          <cell r="A4">
            <v>44805</v>
          </cell>
          <cell r="B4">
            <v>257</v>
          </cell>
        </row>
        <row r="5">
          <cell r="A5">
            <v>44835</v>
          </cell>
          <cell r="B5">
            <v>263</v>
          </cell>
        </row>
        <row r="6">
          <cell r="A6">
            <v>44866</v>
          </cell>
          <cell r="B6">
            <v>255</v>
          </cell>
        </row>
        <row r="7">
          <cell r="A7">
            <v>44896</v>
          </cell>
          <cell r="B7">
            <v>255</v>
          </cell>
        </row>
        <row r="8">
          <cell r="A8">
            <v>44927</v>
          </cell>
          <cell r="B8">
            <v>415</v>
          </cell>
        </row>
        <row r="9">
          <cell r="A9">
            <v>44958</v>
          </cell>
          <cell r="B9">
            <v>458</v>
          </cell>
        </row>
        <row r="10">
          <cell r="A10">
            <v>44986</v>
          </cell>
          <cell r="B10">
            <v>681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зультат запроса"/>
    </sheetNames>
    <sheetDataSet>
      <sheetData sheetId="0">
        <row r="1">
          <cell r="C1" t="str">
            <v>agg_seconds</v>
          </cell>
        </row>
        <row r="2">
          <cell r="A2">
            <v>44743</v>
          </cell>
          <cell r="C2">
            <v>2.2188248095756258</v>
          </cell>
        </row>
        <row r="3">
          <cell r="A3">
            <v>44774</v>
          </cell>
          <cell r="C3">
            <v>2.3230326108181991</v>
          </cell>
        </row>
        <row r="4">
          <cell r="A4">
            <v>44805</v>
          </cell>
          <cell r="C4">
            <v>2.2760932944606416</v>
          </cell>
        </row>
        <row r="5">
          <cell r="A5">
            <v>44835</v>
          </cell>
          <cell r="C5">
            <v>2.3715035931453845</v>
          </cell>
        </row>
        <row r="6">
          <cell r="A6">
            <v>44866</v>
          </cell>
          <cell r="C6">
            <v>2.5163474328278799</v>
          </cell>
        </row>
        <row r="7">
          <cell r="A7">
            <v>44896</v>
          </cell>
          <cell r="C7">
            <v>2.731181917211329</v>
          </cell>
        </row>
        <row r="8">
          <cell r="A8">
            <v>44927</v>
          </cell>
          <cell r="C8">
            <v>2.3998779342723009</v>
          </cell>
        </row>
        <row r="9">
          <cell r="A9">
            <v>44958</v>
          </cell>
          <cell r="C9">
            <v>2.2895430218196791</v>
          </cell>
        </row>
        <row r="10">
          <cell r="A10">
            <v>44986</v>
          </cell>
          <cell r="C10">
            <v>5.5359777492511766</v>
          </cell>
        </row>
        <row r="11">
          <cell r="A11">
            <v>45017</v>
          </cell>
          <cell r="C11">
            <v>2.3343766060232296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дание 1"/>
    </sheetNames>
    <sheetDataSet>
      <sheetData sheetId="0">
        <row r="1">
          <cell r="C1" t="str">
            <v>DAU</v>
          </cell>
          <cell r="D1" t="str">
            <v>WAU</v>
          </cell>
          <cell r="E1" t="str">
            <v>MAU</v>
          </cell>
          <cell r="F1" t="str">
            <v>SF (week)</v>
          </cell>
          <cell r="G1" t="str">
            <v>SF (month)</v>
          </cell>
        </row>
        <row r="2">
          <cell r="B2">
            <v>44744</v>
          </cell>
          <cell r="C2">
            <v>3</v>
          </cell>
          <cell r="D2">
            <v>6</v>
          </cell>
          <cell r="E2">
            <v>193</v>
          </cell>
          <cell r="F2">
            <v>0.5</v>
          </cell>
          <cell r="G2">
            <v>1.5544041450777202E-2</v>
          </cell>
        </row>
        <row r="3">
          <cell r="B3">
            <v>44745</v>
          </cell>
          <cell r="C3">
            <v>6</v>
          </cell>
          <cell r="D3">
            <v>6</v>
          </cell>
          <cell r="E3">
            <v>193</v>
          </cell>
          <cell r="F3">
            <v>1</v>
          </cell>
          <cell r="G3">
            <v>3.1088082901554404E-2</v>
          </cell>
        </row>
        <row r="4">
          <cell r="B4">
            <v>44746</v>
          </cell>
          <cell r="C4">
            <v>5</v>
          </cell>
          <cell r="D4">
            <v>59</v>
          </cell>
          <cell r="E4">
            <v>193</v>
          </cell>
          <cell r="F4">
            <v>8.4745762711864403E-2</v>
          </cell>
          <cell r="G4">
            <v>2.5906735751295335E-2</v>
          </cell>
        </row>
        <row r="5">
          <cell r="B5">
            <v>44747</v>
          </cell>
          <cell r="C5">
            <v>10</v>
          </cell>
          <cell r="D5">
            <v>59</v>
          </cell>
          <cell r="E5">
            <v>193</v>
          </cell>
          <cell r="F5">
            <v>0.16949152542372881</v>
          </cell>
          <cell r="G5">
            <v>5.181347150259067E-2</v>
          </cell>
        </row>
        <row r="6">
          <cell r="B6">
            <v>44748</v>
          </cell>
          <cell r="C6">
            <v>5</v>
          </cell>
          <cell r="D6">
            <v>59</v>
          </cell>
          <cell r="E6">
            <v>193</v>
          </cell>
          <cell r="F6">
            <v>8.4745762711864403E-2</v>
          </cell>
          <cell r="G6">
            <v>2.5906735751295335E-2</v>
          </cell>
        </row>
        <row r="7">
          <cell r="B7">
            <v>44749</v>
          </cell>
          <cell r="C7">
            <v>13</v>
          </cell>
          <cell r="D7">
            <v>59</v>
          </cell>
          <cell r="E7">
            <v>193</v>
          </cell>
          <cell r="F7">
            <v>0.22033898305084745</v>
          </cell>
          <cell r="G7">
            <v>6.7357512953367879E-2</v>
          </cell>
        </row>
        <row r="8">
          <cell r="B8">
            <v>44750</v>
          </cell>
          <cell r="C8">
            <v>22</v>
          </cell>
          <cell r="D8">
            <v>59</v>
          </cell>
          <cell r="E8">
            <v>193</v>
          </cell>
          <cell r="F8">
            <v>0.3728813559322034</v>
          </cell>
          <cell r="G8">
            <v>0.11398963730569948</v>
          </cell>
        </row>
        <row r="9">
          <cell r="B9">
            <v>44751</v>
          </cell>
          <cell r="C9">
            <v>22</v>
          </cell>
          <cell r="D9">
            <v>59</v>
          </cell>
          <cell r="E9">
            <v>193</v>
          </cell>
          <cell r="F9">
            <v>0.3728813559322034</v>
          </cell>
          <cell r="G9">
            <v>0.11398963730569948</v>
          </cell>
        </row>
        <row r="10">
          <cell r="B10">
            <v>44752</v>
          </cell>
          <cell r="C10">
            <v>26</v>
          </cell>
          <cell r="D10">
            <v>59</v>
          </cell>
          <cell r="E10">
            <v>193</v>
          </cell>
          <cell r="F10">
            <v>0.44067796610169491</v>
          </cell>
          <cell r="G10">
            <v>0.13471502590673576</v>
          </cell>
        </row>
        <row r="11">
          <cell r="B11">
            <v>44753</v>
          </cell>
          <cell r="C11">
            <v>23</v>
          </cell>
          <cell r="D11">
            <v>92</v>
          </cell>
          <cell r="E11">
            <v>193</v>
          </cell>
          <cell r="F11">
            <v>0.25</v>
          </cell>
          <cell r="G11">
            <v>0.11917098445595854</v>
          </cell>
        </row>
        <row r="12">
          <cell r="B12">
            <v>44754</v>
          </cell>
          <cell r="C12">
            <v>24</v>
          </cell>
          <cell r="D12">
            <v>92</v>
          </cell>
          <cell r="E12">
            <v>193</v>
          </cell>
          <cell r="F12">
            <v>0.2608695652173913</v>
          </cell>
          <cell r="G12">
            <v>0.12435233160621761</v>
          </cell>
        </row>
        <row r="13">
          <cell r="B13">
            <v>44755</v>
          </cell>
          <cell r="C13">
            <v>30</v>
          </cell>
          <cell r="D13">
            <v>92</v>
          </cell>
          <cell r="E13">
            <v>193</v>
          </cell>
          <cell r="F13">
            <v>0.32608695652173914</v>
          </cell>
          <cell r="G13">
            <v>0.15544041450777202</v>
          </cell>
        </row>
        <row r="14">
          <cell r="B14">
            <v>44756</v>
          </cell>
          <cell r="C14">
            <v>32</v>
          </cell>
          <cell r="D14">
            <v>92</v>
          </cell>
          <cell r="E14">
            <v>193</v>
          </cell>
          <cell r="F14">
            <v>0.34782608695652173</v>
          </cell>
          <cell r="G14">
            <v>0.16580310880829016</v>
          </cell>
        </row>
        <row r="15">
          <cell r="B15">
            <v>44757</v>
          </cell>
          <cell r="C15">
            <v>25</v>
          </cell>
          <cell r="D15">
            <v>92</v>
          </cell>
          <cell r="E15">
            <v>193</v>
          </cell>
          <cell r="F15">
            <v>0.27173913043478259</v>
          </cell>
          <cell r="G15">
            <v>0.12953367875647667</v>
          </cell>
        </row>
        <row r="16">
          <cell r="B16">
            <v>44758</v>
          </cell>
          <cell r="C16">
            <v>34</v>
          </cell>
          <cell r="D16">
            <v>92</v>
          </cell>
          <cell r="E16">
            <v>193</v>
          </cell>
          <cell r="F16">
            <v>0.36956521739130432</v>
          </cell>
          <cell r="G16">
            <v>0.17616580310880828</v>
          </cell>
        </row>
        <row r="17">
          <cell r="B17">
            <v>44759</v>
          </cell>
          <cell r="C17">
            <v>39</v>
          </cell>
          <cell r="D17">
            <v>92</v>
          </cell>
          <cell r="E17">
            <v>193</v>
          </cell>
          <cell r="F17">
            <v>0.42391304347826086</v>
          </cell>
          <cell r="G17">
            <v>0.20207253886010362</v>
          </cell>
        </row>
        <row r="18">
          <cell r="B18">
            <v>44760</v>
          </cell>
          <cell r="C18">
            <v>22</v>
          </cell>
          <cell r="D18">
            <v>133</v>
          </cell>
          <cell r="E18">
            <v>193</v>
          </cell>
          <cell r="F18">
            <v>0.16541353383458646</v>
          </cell>
          <cell r="G18">
            <v>0.11398963730569948</v>
          </cell>
        </row>
        <row r="19">
          <cell r="B19">
            <v>44761</v>
          </cell>
          <cell r="C19">
            <v>38</v>
          </cell>
          <cell r="D19">
            <v>133</v>
          </cell>
          <cell r="E19">
            <v>193</v>
          </cell>
          <cell r="F19">
            <v>0.2857142857142857</v>
          </cell>
          <cell r="G19">
            <v>0.19689119170984457</v>
          </cell>
        </row>
        <row r="20">
          <cell r="B20">
            <v>44762</v>
          </cell>
          <cell r="C20">
            <v>34</v>
          </cell>
          <cell r="D20">
            <v>133</v>
          </cell>
          <cell r="E20">
            <v>193</v>
          </cell>
          <cell r="F20">
            <v>0.25563909774436089</v>
          </cell>
          <cell r="G20">
            <v>0.17616580310880828</v>
          </cell>
        </row>
        <row r="21">
          <cell r="B21">
            <v>44763</v>
          </cell>
          <cell r="C21">
            <v>50</v>
          </cell>
          <cell r="D21">
            <v>133</v>
          </cell>
          <cell r="E21">
            <v>193</v>
          </cell>
          <cell r="F21">
            <v>0.37593984962406013</v>
          </cell>
          <cell r="G21">
            <v>0.25906735751295334</v>
          </cell>
        </row>
        <row r="22">
          <cell r="B22">
            <v>44764</v>
          </cell>
          <cell r="C22">
            <v>43</v>
          </cell>
          <cell r="D22">
            <v>133</v>
          </cell>
          <cell r="E22">
            <v>193</v>
          </cell>
          <cell r="F22">
            <v>0.32330827067669171</v>
          </cell>
          <cell r="G22">
            <v>0.22279792746113988</v>
          </cell>
        </row>
        <row r="23">
          <cell r="B23">
            <v>44765</v>
          </cell>
          <cell r="C23">
            <v>43</v>
          </cell>
          <cell r="D23">
            <v>133</v>
          </cell>
          <cell r="E23">
            <v>193</v>
          </cell>
          <cell r="F23">
            <v>0.32330827067669171</v>
          </cell>
          <cell r="G23">
            <v>0.22279792746113988</v>
          </cell>
        </row>
        <row r="24">
          <cell r="B24">
            <v>44766</v>
          </cell>
          <cell r="C24">
            <v>53</v>
          </cell>
          <cell r="D24">
            <v>133</v>
          </cell>
          <cell r="E24">
            <v>193</v>
          </cell>
          <cell r="F24">
            <v>0.39849624060150374</v>
          </cell>
          <cell r="G24">
            <v>0.27461139896373055</v>
          </cell>
        </row>
        <row r="25">
          <cell r="B25">
            <v>44767</v>
          </cell>
          <cell r="C25">
            <v>63</v>
          </cell>
          <cell r="D25">
            <v>183</v>
          </cell>
          <cell r="E25">
            <v>193</v>
          </cell>
          <cell r="F25">
            <v>0.34426229508196721</v>
          </cell>
          <cell r="G25">
            <v>0.32642487046632124</v>
          </cell>
        </row>
        <row r="26">
          <cell r="B26">
            <v>44768</v>
          </cell>
          <cell r="C26">
            <v>48</v>
          </cell>
          <cell r="D26">
            <v>183</v>
          </cell>
          <cell r="E26">
            <v>193</v>
          </cell>
          <cell r="F26">
            <v>0.26229508196721313</v>
          </cell>
          <cell r="G26">
            <v>0.24870466321243523</v>
          </cell>
        </row>
        <row r="27">
          <cell r="B27">
            <v>44769</v>
          </cell>
          <cell r="C27">
            <v>59</v>
          </cell>
          <cell r="D27">
            <v>183</v>
          </cell>
          <cell r="E27">
            <v>193</v>
          </cell>
          <cell r="F27">
            <v>0.32240437158469948</v>
          </cell>
          <cell r="G27">
            <v>0.30569948186528495</v>
          </cell>
        </row>
        <row r="28">
          <cell r="B28">
            <v>44770</v>
          </cell>
          <cell r="C28">
            <v>59</v>
          </cell>
          <cell r="D28">
            <v>183</v>
          </cell>
          <cell r="E28">
            <v>193</v>
          </cell>
          <cell r="F28">
            <v>0.32240437158469948</v>
          </cell>
          <cell r="G28">
            <v>0.30569948186528495</v>
          </cell>
        </row>
        <row r="29">
          <cell r="B29">
            <v>44771</v>
          </cell>
          <cell r="C29">
            <v>61</v>
          </cell>
          <cell r="D29">
            <v>183</v>
          </cell>
          <cell r="E29">
            <v>193</v>
          </cell>
          <cell r="F29">
            <v>0.33333333333333331</v>
          </cell>
          <cell r="G29">
            <v>0.31606217616580312</v>
          </cell>
        </row>
        <row r="30">
          <cell r="B30">
            <v>44772</v>
          </cell>
          <cell r="C30">
            <v>64</v>
          </cell>
          <cell r="D30">
            <v>183</v>
          </cell>
          <cell r="E30">
            <v>193</v>
          </cell>
          <cell r="F30">
            <v>0.34972677595628415</v>
          </cell>
          <cell r="G30">
            <v>0.33160621761658032</v>
          </cell>
        </row>
        <row r="31">
          <cell r="B31">
            <v>44773</v>
          </cell>
          <cell r="C31">
            <v>64</v>
          </cell>
          <cell r="D31">
            <v>183</v>
          </cell>
          <cell r="E31">
            <v>193</v>
          </cell>
          <cell r="F31">
            <v>0.34972677595628415</v>
          </cell>
          <cell r="G31">
            <v>0.33160621761658032</v>
          </cell>
        </row>
        <row r="32">
          <cell r="B32">
            <v>44774</v>
          </cell>
          <cell r="C32">
            <v>52</v>
          </cell>
          <cell r="D32">
            <v>202</v>
          </cell>
          <cell r="E32">
            <v>366</v>
          </cell>
          <cell r="F32">
            <v>0.25742574257425743</v>
          </cell>
          <cell r="G32">
            <v>0.14207650273224043</v>
          </cell>
        </row>
        <row r="33">
          <cell r="B33">
            <v>44775</v>
          </cell>
          <cell r="C33">
            <v>62</v>
          </cell>
          <cell r="D33">
            <v>202</v>
          </cell>
          <cell r="E33">
            <v>366</v>
          </cell>
          <cell r="F33">
            <v>0.30693069306930693</v>
          </cell>
          <cell r="G33">
            <v>0.16939890710382513</v>
          </cell>
        </row>
        <row r="34">
          <cell r="B34">
            <v>44776</v>
          </cell>
          <cell r="C34">
            <v>55</v>
          </cell>
          <cell r="D34">
            <v>202</v>
          </cell>
          <cell r="E34">
            <v>366</v>
          </cell>
          <cell r="F34">
            <v>0.2722772277227723</v>
          </cell>
          <cell r="G34">
            <v>0.15027322404371585</v>
          </cell>
        </row>
        <row r="35">
          <cell r="B35">
            <v>44777</v>
          </cell>
          <cell r="C35">
            <v>60</v>
          </cell>
          <cell r="D35">
            <v>202</v>
          </cell>
          <cell r="E35">
            <v>366</v>
          </cell>
          <cell r="F35">
            <v>0.29702970297029702</v>
          </cell>
          <cell r="G35">
            <v>0.16393442622950818</v>
          </cell>
        </row>
        <row r="36">
          <cell r="B36">
            <v>44778</v>
          </cell>
          <cell r="C36">
            <v>52</v>
          </cell>
          <cell r="D36">
            <v>202</v>
          </cell>
          <cell r="E36">
            <v>366</v>
          </cell>
          <cell r="F36">
            <v>0.25742574257425743</v>
          </cell>
          <cell r="G36">
            <v>0.14207650273224043</v>
          </cell>
        </row>
        <row r="37">
          <cell r="B37">
            <v>44779</v>
          </cell>
          <cell r="C37">
            <v>62</v>
          </cell>
          <cell r="D37">
            <v>202</v>
          </cell>
          <cell r="E37">
            <v>366</v>
          </cell>
          <cell r="F37">
            <v>0.30693069306930693</v>
          </cell>
          <cell r="G37">
            <v>0.16939890710382513</v>
          </cell>
        </row>
        <row r="38">
          <cell r="B38">
            <v>44780</v>
          </cell>
          <cell r="C38">
            <v>59</v>
          </cell>
          <cell r="D38">
            <v>202</v>
          </cell>
          <cell r="E38">
            <v>366</v>
          </cell>
          <cell r="F38">
            <v>0.29207920792079206</v>
          </cell>
          <cell r="G38">
            <v>0.16120218579234974</v>
          </cell>
        </row>
        <row r="39">
          <cell r="B39">
            <v>44781</v>
          </cell>
          <cell r="C39">
            <v>58</v>
          </cell>
          <cell r="D39">
            <v>193</v>
          </cell>
          <cell r="E39">
            <v>366</v>
          </cell>
          <cell r="F39">
            <v>0.30051813471502592</v>
          </cell>
          <cell r="G39">
            <v>0.15846994535519127</v>
          </cell>
        </row>
        <row r="40">
          <cell r="B40">
            <v>44782</v>
          </cell>
          <cell r="C40">
            <v>53</v>
          </cell>
          <cell r="D40">
            <v>193</v>
          </cell>
          <cell r="E40">
            <v>366</v>
          </cell>
          <cell r="F40">
            <v>0.27461139896373055</v>
          </cell>
          <cell r="G40">
            <v>0.1448087431693989</v>
          </cell>
        </row>
        <row r="41">
          <cell r="B41">
            <v>44783</v>
          </cell>
          <cell r="C41">
            <v>55</v>
          </cell>
          <cell r="D41">
            <v>193</v>
          </cell>
          <cell r="E41">
            <v>366</v>
          </cell>
          <cell r="F41">
            <v>0.28497409326424872</v>
          </cell>
          <cell r="G41">
            <v>0.15027322404371585</v>
          </cell>
        </row>
        <row r="42">
          <cell r="B42">
            <v>44784</v>
          </cell>
          <cell r="C42">
            <v>65</v>
          </cell>
          <cell r="D42">
            <v>193</v>
          </cell>
          <cell r="E42">
            <v>366</v>
          </cell>
          <cell r="F42">
            <v>0.33678756476683935</v>
          </cell>
          <cell r="G42">
            <v>0.17759562841530055</v>
          </cell>
        </row>
        <row r="43">
          <cell r="B43">
            <v>44785</v>
          </cell>
          <cell r="C43">
            <v>54</v>
          </cell>
          <cell r="D43">
            <v>193</v>
          </cell>
          <cell r="E43">
            <v>366</v>
          </cell>
          <cell r="F43">
            <v>0.27979274611398963</v>
          </cell>
          <cell r="G43">
            <v>0.14754098360655737</v>
          </cell>
        </row>
        <row r="44">
          <cell r="B44">
            <v>44786</v>
          </cell>
          <cell r="C44">
            <v>74</v>
          </cell>
          <cell r="D44">
            <v>193</v>
          </cell>
          <cell r="E44">
            <v>366</v>
          </cell>
          <cell r="F44">
            <v>0.38341968911917096</v>
          </cell>
          <cell r="G44">
            <v>0.20218579234972678</v>
          </cell>
        </row>
        <row r="45">
          <cell r="B45">
            <v>44787</v>
          </cell>
          <cell r="C45">
            <v>59</v>
          </cell>
          <cell r="D45">
            <v>193</v>
          </cell>
          <cell r="E45">
            <v>366</v>
          </cell>
          <cell r="F45">
            <v>0.30569948186528495</v>
          </cell>
          <cell r="G45">
            <v>0.16120218579234974</v>
          </cell>
        </row>
        <row r="46">
          <cell r="B46">
            <v>44788</v>
          </cell>
          <cell r="C46">
            <v>54</v>
          </cell>
          <cell r="D46">
            <v>201</v>
          </cell>
          <cell r="E46">
            <v>366</v>
          </cell>
          <cell r="F46">
            <v>0.26865671641791045</v>
          </cell>
          <cell r="G46">
            <v>0.14754098360655737</v>
          </cell>
        </row>
        <row r="47">
          <cell r="B47">
            <v>44789</v>
          </cell>
          <cell r="C47">
            <v>68</v>
          </cell>
          <cell r="D47">
            <v>201</v>
          </cell>
          <cell r="E47">
            <v>366</v>
          </cell>
          <cell r="F47">
            <v>0.3383084577114428</v>
          </cell>
          <cell r="G47">
            <v>0.18579234972677597</v>
          </cell>
        </row>
        <row r="48">
          <cell r="B48">
            <v>44790</v>
          </cell>
          <cell r="C48">
            <v>59</v>
          </cell>
          <cell r="D48">
            <v>201</v>
          </cell>
          <cell r="E48">
            <v>366</v>
          </cell>
          <cell r="F48">
            <v>0.29353233830845771</v>
          </cell>
          <cell r="G48">
            <v>0.16120218579234974</v>
          </cell>
        </row>
        <row r="49">
          <cell r="B49">
            <v>44791</v>
          </cell>
          <cell r="C49">
            <v>61</v>
          </cell>
          <cell r="D49">
            <v>201</v>
          </cell>
          <cell r="E49">
            <v>366</v>
          </cell>
          <cell r="F49">
            <v>0.30348258706467662</v>
          </cell>
          <cell r="G49">
            <v>0.16666666666666666</v>
          </cell>
        </row>
        <row r="50">
          <cell r="B50">
            <v>44792</v>
          </cell>
          <cell r="C50">
            <v>58</v>
          </cell>
          <cell r="D50">
            <v>201</v>
          </cell>
          <cell r="E50">
            <v>366</v>
          </cell>
          <cell r="F50">
            <v>0.28855721393034828</v>
          </cell>
          <cell r="G50">
            <v>0.15846994535519127</v>
          </cell>
        </row>
        <row r="51">
          <cell r="B51">
            <v>44793</v>
          </cell>
          <cell r="C51">
            <v>67</v>
          </cell>
          <cell r="D51">
            <v>201</v>
          </cell>
          <cell r="E51">
            <v>366</v>
          </cell>
          <cell r="F51">
            <v>0.33333333333333331</v>
          </cell>
          <cell r="G51">
            <v>0.1830601092896175</v>
          </cell>
        </row>
        <row r="52">
          <cell r="B52">
            <v>44794</v>
          </cell>
          <cell r="C52">
            <v>62</v>
          </cell>
          <cell r="D52">
            <v>201</v>
          </cell>
          <cell r="E52">
            <v>366</v>
          </cell>
          <cell r="F52">
            <v>0.30845771144278605</v>
          </cell>
          <cell r="G52">
            <v>0.16939890710382513</v>
          </cell>
        </row>
        <row r="53">
          <cell r="B53">
            <v>44795</v>
          </cell>
          <cell r="C53">
            <v>53</v>
          </cell>
          <cell r="D53">
            <v>206</v>
          </cell>
          <cell r="E53">
            <v>366</v>
          </cell>
          <cell r="F53">
            <v>0.25728155339805825</v>
          </cell>
          <cell r="G53">
            <v>0.1448087431693989</v>
          </cell>
        </row>
        <row r="54">
          <cell r="B54">
            <v>44796</v>
          </cell>
          <cell r="C54">
            <v>60</v>
          </cell>
          <cell r="D54">
            <v>206</v>
          </cell>
          <cell r="E54">
            <v>366</v>
          </cell>
          <cell r="F54">
            <v>0.29126213592233008</v>
          </cell>
          <cell r="G54">
            <v>0.16393442622950818</v>
          </cell>
        </row>
        <row r="55">
          <cell r="B55">
            <v>44797</v>
          </cell>
          <cell r="C55">
            <v>67</v>
          </cell>
          <cell r="D55">
            <v>206</v>
          </cell>
          <cell r="E55">
            <v>366</v>
          </cell>
          <cell r="F55">
            <v>0.32524271844660196</v>
          </cell>
          <cell r="G55">
            <v>0.1830601092896175</v>
          </cell>
        </row>
        <row r="56">
          <cell r="B56">
            <v>44798</v>
          </cell>
          <cell r="C56">
            <v>67</v>
          </cell>
          <cell r="D56">
            <v>206</v>
          </cell>
          <cell r="E56">
            <v>366</v>
          </cell>
          <cell r="F56">
            <v>0.32524271844660196</v>
          </cell>
          <cell r="G56">
            <v>0.1830601092896175</v>
          </cell>
        </row>
        <row r="57">
          <cell r="B57">
            <v>44799</v>
          </cell>
          <cell r="C57">
            <v>61</v>
          </cell>
          <cell r="D57">
            <v>206</v>
          </cell>
          <cell r="E57">
            <v>366</v>
          </cell>
          <cell r="F57">
            <v>0.29611650485436891</v>
          </cell>
          <cell r="G57">
            <v>0.16666666666666666</v>
          </cell>
        </row>
        <row r="58">
          <cell r="B58">
            <v>44800</v>
          </cell>
          <cell r="C58">
            <v>63</v>
          </cell>
          <cell r="D58">
            <v>206</v>
          </cell>
          <cell r="E58">
            <v>366</v>
          </cell>
          <cell r="F58">
            <v>0.30582524271844658</v>
          </cell>
          <cell r="G58">
            <v>0.1721311475409836</v>
          </cell>
        </row>
        <row r="59">
          <cell r="B59">
            <v>44801</v>
          </cell>
          <cell r="C59">
            <v>61</v>
          </cell>
          <cell r="D59">
            <v>206</v>
          </cell>
          <cell r="E59">
            <v>366</v>
          </cell>
          <cell r="F59">
            <v>0.29611650485436891</v>
          </cell>
          <cell r="G59">
            <v>0.16666666666666666</v>
          </cell>
        </row>
        <row r="60">
          <cell r="B60">
            <v>44802</v>
          </cell>
          <cell r="C60">
            <v>54</v>
          </cell>
          <cell r="D60">
            <v>192</v>
          </cell>
          <cell r="E60">
            <v>366</v>
          </cell>
          <cell r="F60">
            <v>0.28125</v>
          </cell>
          <cell r="G60">
            <v>0.14754098360655737</v>
          </cell>
        </row>
        <row r="61">
          <cell r="B61">
            <v>44803</v>
          </cell>
          <cell r="C61">
            <v>72</v>
          </cell>
          <cell r="D61">
            <v>192</v>
          </cell>
          <cell r="E61">
            <v>366</v>
          </cell>
          <cell r="F61">
            <v>0.375</v>
          </cell>
          <cell r="G61">
            <v>0.19672131147540983</v>
          </cell>
        </row>
        <row r="62">
          <cell r="B62">
            <v>44804</v>
          </cell>
          <cell r="C62">
            <v>54</v>
          </cell>
          <cell r="D62">
            <v>192</v>
          </cell>
          <cell r="E62">
            <v>366</v>
          </cell>
          <cell r="F62">
            <v>0.28125</v>
          </cell>
          <cell r="G62">
            <v>0.14754098360655737</v>
          </cell>
        </row>
        <row r="63">
          <cell r="B63">
            <v>44805</v>
          </cell>
          <cell r="C63">
            <v>66</v>
          </cell>
          <cell r="D63">
            <v>192</v>
          </cell>
          <cell r="E63">
            <v>378</v>
          </cell>
          <cell r="F63">
            <v>0.34375</v>
          </cell>
          <cell r="G63">
            <v>0.17460317460317459</v>
          </cell>
        </row>
        <row r="64">
          <cell r="B64">
            <v>44806</v>
          </cell>
          <cell r="C64">
            <v>61</v>
          </cell>
          <cell r="D64">
            <v>192</v>
          </cell>
          <cell r="E64">
            <v>378</v>
          </cell>
          <cell r="F64">
            <v>0.31770833333333331</v>
          </cell>
          <cell r="G64">
            <v>0.16137566137566137</v>
          </cell>
        </row>
        <row r="65">
          <cell r="B65">
            <v>44807</v>
          </cell>
          <cell r="C65">
            <v>58</v>
          </cell>
          <cell r="D65">
            <v>192</v>
          </cell>
          <cell r="E65">
            <v>378</v>
          </cell>
          <cell r="F65">
            <v>0.30208333333333331</v>
          </cell>
          <cell r="G65">
            <v>0.15343915343915343</v>
          </cell>
        </row>
        <row r="66">
          <cell r="B66">
            <v>44808</v>
          </cell>
          <cell r="C66">
            <v>64</v>
          </cell>
          <cell r="D66">
            <v>192</v>
          </cell>
          <cell r="E66">
            <v>378</v>
          </cell>
          <cell r="F66">
            <v>0.33333333333333331</v>
          </cell>
          <cell r="G66">
            <v>0.1693121693121693</v>
          </cell>
        </row>
        <row r="67">
          <cell r="B67">
            <v>44809</v>
          </cell>
          <cell r="C67">
            <v>62</v>
          </cell>
          <cell r="D67">
            <v>196</v>
          </cell>
          <cell r="E67">
            <v>378</v>
          </cell>
          <cell r="F67">
            <v>0.31632653061224492</v>
          </cell>
          <cell r="G67">
            <v>0.16402116402116401</v>
          </cell>
        </row>
        <row r="68">
          <cell r="B68">
            <v>44810</v>
          </cell>
          <cell r="C68">
            <v>46</v>
          </cell>
          <cell r="D68">
            <v>196</v>
          </cell>
          <cell r="E68">
            <v>378</v>
          </cell>
          <cell r="F68">
            <v>0.23469387755102042</v>
          </cell>
          <cell r="G68">
            <v>0.12169312169312169</v>
          </cell>
        </row>
        <row r="69">
          <cell r="B69">
            <v>44811</v>
          </cell>
          <cell r="C69">
            <v>49</v>
          </cell>
          <cell r="D69">
            <v>196</v>
          </cell>
          <cell r="E69">
            <v>378</v>
          </cell>
          <cell r="F69">
            <v>0.25</v>
          </cell>
          <cell r="G69">
            <v>0.12962962962962962</v>
          </cell>
        </row>
        <row r="70">
          <cell r="B70">
            <v>44812</v>
          </cell>
          <cell r="C70">
            <v>59</v>
          </cell>
          <cell r="D70">
            <v>196</v>
          </cell>
          <cell r="E70">
            <v>378</v>
          </cell>
          <cell r="F70">
            <v>0.30102040816326531</v>
          </cell>
          <cell r="G70">
            <v>0.15608465608465608</v>
          </cell>
        </row>
        <row r="71">
          <cell r="B71">
            <v>44813</v>
          </cell>
          <cell r="C71">
            <v>60</v>
          </cell>
          <cell r="D71">
            <v>196</v>
          </cell>
          <cell r="E71">
            <v>378</v>
          </cell>
          <cell r="F71">
            <v>0.30612244897959184</v>
          </cell>
          <cell r="G71">
            <v>0.15873015873015872</v>
          </cell>
        </row>
        <row r="72">
          <cell r="B72">
            <v>44814</v>
          </cell>
          <cell r="C72">
            <v>53</v>
          </cell>
          <cell r="D72">
            <v>196</v>
          </cell>
          <cell r="E72">
            <v>378</v>
          </cell>
          <cell r="F72">
            <v>0.27040816326530615</v>
          </cell>
          <cell r="G72">
            <v>0.1402116402116402</v>
          </cell>
        </row>
        <row r="73">
          <cell r="B73">
            <v>44815</v>
          </cell>
          <cell r="C73">
            <v>61</v>
          </cell>
          <cell r="D73">
            <v>196</v>
          </cell>
          <cell r="E73">
            <v>378</v>
          </cell>
          <cell r="F73">
            <v>0.31122448979591838</v>
          </cell>
          <cell r="G73">
            <v>0.16137566137566137</v>
          </cell>
        </row>
        <row r="74">
          <cell r="B74">
            <v>44816</v>
          </cell>
          <cell r="C74">
            <v>58</v>
          </cell>
          <cell r="D74">
            <v>205</v>
          </cell>
          <cell r="E74">
            <v>378</v>
          </cell>
          <cell r="F74">
            <v>0.28292682926829266</v>
          </cell>
          <cell r="G74">
            <v>0.15343915343915343</v>
          </cell>
        </row>
        <row r="75">
          <cell r="B75">
            <v>44817</v>
          </cell>
          <cell r="C75">
            <v>64</v>
          </cell>
          <cell r="D75">
            <v>205</v>
          </cell>
          <cell r="E75">
            <v>378</v>
          </cell>
          <cell r="F75">
            <v>0.31219512195121951</v>
          </cell>
          <cell r="G75">
            <v>0.1693121693121693</v>
          </cell>
        </row>
        <row r="76">
          <cell r="B76">
            <v>44818</v>
          </cell>
          <cell r="C76">
            <v>65</v>
          </cell>
          <cell r="D76">
            <v>205</v>
          </cell>
          <cell r="E76">
            <v>378</v>
          </cell>
          <cell r="F76">
            <v>0.31707317073170732</v>
          </cell>
          <cell r="G76">
            <v>0.17195767195767195</v>
          </cell>
        </row>
        <row r="77">
          <cell r="B77">
            <v>44819</v>
          </cell>
          <cell r="C77">
            <v>74</v>
          </cell>
          <cell r="D77">
            <v>205</v>
          </cell>
          <cell r="E77">
            <v>378</v>
          </cell>
          <cell r="F77">
            <v>0.36097560975609755</v>
          </cell>
          <cell r="G77">
            <v>0.19576719576719576</v>
          </cell>
        </row>
        <row r="78">
          <cell r="B78">
            <v>44820</v>
          </cell>
          <cell r="C78">
            <v>58</v>
          </cell>
          <cell r="D78">
            <v>205</v>
          </cell>
          <cell r="E78">
            <v>378</v>
          </cell>
          <cell r="F78">
            <v>0.28292682926829266</v>
          </cell>
          <cell r="G78">
            <v>0.15343915343915343</v>
          </cell>
        </row>
        <row r="79">
          <cell r="B79">
            <v>44821</v>
          </cell>
          <cell r="C79">
            <v>62</v>
          </cell>
          <cell r="D79">
            <v>205</v>
          </cell>
          <cell r="E79">
            <v>378</v>
          </cell>
          <cell r="F79">
            <v>0.30243902439024389</v>
          </cell>
          <cell r="G79">
            <v>0.16402116402116401</v>
          </cell>
        </row>
        <row r="80">
          <cell r="B80">
            <v>44822</v>
          </cell>
          <cell r="C80">
            <v>69</v>
          </cell>
          <cell r="D80">
            <v>205</v>
          </cell>
          <cell r="E80">
            <v>378</v>
          </cell>
          <cell r="F80">
            <v>0.33658536585365856</v>
          </cell>
          <cell r="G80">
            <v>0.18253968253968253</v>
          </cell>
        </row>
        <row r="81">
          <cell r="B81">
            <v>44823</v>
          </cell>
          <cell r="C81">
            <v>66</v>
          </cell>
          <cell r="D81">
            <v>213</v>
          </cell>
          <cell r="E81">
            <v>378</v>
          </cell>
          <cell r="F81">
            <v>0.30985915492957744</v>
          </cell>
          <cell r="G81">
            <v>0.17460317460317459</v>
          </cell>
        </row>
        <row r="82">
          <cell r="B82">
            <v>44824</v>
          </cell>
          <cell r="C82">
            <v>67</v>
          </cell>
          <cell r="D82">
            <v>213</v>
          </cell>
          <cell r="E82">
            <v>378</v>
          </cell>
          <cell r="F82">
            <v>0.31455399061032863</v>
          </cell>
          <cell r="G82">
            <v>0.17724867724867724</v>
          </cell>
        </row>
        <row r="83">
          <cell r="B83">
            <v>44825</v>
          </cell>
          <cell r="C83">
            <v>71</v>
          </cell>
          <cell r="D83">
            <v>213</v>
          </cell>
          <cell r="E83">
            <v>378</v>
          </cell>
          <cell r="F83">
            <v>0.33333333333333331</v>
          </cell>
          <cell r="G83">
            <v>0.18783068783068782</v>
          </cell>
        </row>
        <row r="84">
          <cell r="B84">
            <v>44826</v>
          </cell>
          <cell r="C84">
            <v>67</v>
          </cell>
          <cell r="D84">
            <v>213</v>
          </cell>
          <cell r="E84">
            <v>378</v>
          </cell>
          <cell r="F84">
            <v>0.31455399061032863</v>
          </cell>
          <cell r="G84">
            <v>0.17724867724867724</v>
          </cell>
        </row>
        <row r="85">
          <cell r="B85">
            <v>44827</v>
          </cell>
          <cell r="C85">
            <v>55</v>
          </cell>
          <cell r="D85">
            <v>213</v>
          </cell>
          <cell r="E85">
            <v>378</v>
          </cell>
          <cell r="F85">
            <v>0.25821596244131456</v>
          </cell>
          <cell r="G85">
            <v>0.14550264550264549</v>
          </cell>
        </row>
        <row r="86">
          <cell r="B86">
            <v>44828</v>
          </cell>
          <cell r="C86">
            <v>58</v>
          </cell>
          <cell r="D86">
            <v>213</v>
          </cell>
          <cell r="E86">
            <v>378</v>
          </cell>
          <cell r="F86">
            <v>0.27230046948356806</v>
          </cell>
          <cell r="G86">
            <v>0.15343915343915343</v>
          </cell>
        </row>
        <row r="87">
          <cell r="B87">
            <v>44829</v>
          </cell>
          <cell r="C87">
            <v>73</v>
          </cell>
          <cell r="D87">
            <v>213</v>
          </cell>
          <cell r="E87">
            <v>378</v>
          </cell>
          <cell r="F87">
            <v>0.34272300469483569</v>
          </cell>
          <cell r="G87">
            <v>0.19312169312169311</v>
          </cell>
        </row>
        <row r="88">
          <cell r="B88">
            <v>44830</v>
          </cell>
          <cell r="C88">
            <v>58</v>
          </cell>
          <cell r="D88">
            <v>208</v>
          </cell>
          <cell r="E88">
            <v>378</v>
          </cell>
          <cell r="F88">
            <v>0.27884615384615385</v>
          </cell>
          <cell r="G88">
            <v>0.15343915343915343</v>
          </cell>
        </row>
        <row r="89">
          <cell r="B89">
            <v>44831</v>
          </cell>
          <cell r="C89">
            <v>76</v>
          </cell>
          <cell r="D89">
            <v>208</v>
          </cell>
          <cell r="E89">
            <v>378</v>
          </cell>
          <cell r="F89">
            <v>0.36538461538461536</v>
          </cell>
          <cell r="G89">
            <v>0.20105820105820105</v>
          </cell>
        </row>
        <row r="90">
          <cell r="B90">
            <v>44832</v>
          </cell>
          <cell r="C90">
            <v>62</v>
          </cell>
          <cell r="D90">
            <v>208</v>
          </cell>
          <cell r="E90">
            <v>378</v>
          </cell>
          <cell r="F90">
            <v>0.29807692307692307</v>
          </cell>
          <cell r="G90">
            <v>0.16402116402116401</v>
          </cell>
        </row>
        <row r="91">
          <cell r="B91">
            <v>44833</v>
          </cell>
          <cell r="C91">
            <v>66</v>
          </cell>
          <cell r="D91">
            <v>208</v>
          </cell>
          <cell r="E91">
            <v>378</v>
          </cell>
          <cell r="F91">
            <v>0.31730769230769229</v>
          </cell>
          <cell r="G91">
            <v>0.17460317460317459</v>
          </cell>
        </row>
        <row r="92">
          <cell r="B92">
            <v>44834</v>
          </cell>
          <cell r="C92">
            <v>59</v>
          </cell>
          <cell r="D92">
            <v>208</v>
          </cell>
          <cell r="E92">
            <v>378</v>
          </cell>
          <cell r="F92">
            <v>0.28365384615384615</v>
          </cell>
          <cell r="G92">
            <v>0.15608465608465608</v>
          </cell>
        </row>
        <row r="93">
          <cell r="B93">
            <v>44835</v>
          </cell>
          <cell r="C93">
            <v>61</v>
          </cell>
          <cell r="D93">
            <v>208</v>
          </cell>
          <cell r="E93">
            <v>393</v>
          </cell>
          <cell r="F93">
            <v>0.29326923076923078</v>
          </cell>
          <cell r="G93">
            <v>0.15521628498727735</v>
          </cell>
        </row>
        <row r="94">
          <cell r="B94">
            <v>44836</v>
          </cell>
          <cell r="C94">
            <v>52</v>
          </cell>
          <cell r="D94">
            <v>208</v>
          </cell>
          <cell r="E94">
            <v>393</v>
          </cell>
          <cell r="F94">
            <v>0.25</v>
          </cell>
          <cell r="G94">
            <v>0.13231552162849872</v>
          </cell>
        </row>
        <row r="95">
          <cell r="B95">
            <v>44837</v>
          </cell>
          <cell r="C95">
            <v>69</v>
          </cell>
          <cell r="D95">
            <v>207</v>
          </cell>
          <cell r="E95">
            <v>393</v>
          </cell>
          <cell r="F95">
            <v>0.33333333333333331</v>
          </cell>
          <cell r="G95">
            <v>0.17557251908396945</v>
          </cell>
        </row>
        <row r="96">
          <cell r="B96">
            <v>44838</v>
          </cell>
          <cell r="C96">
            <v>70</v>
          </cell>
          <cell r="D96">
            <v>207</v>
          </cell>
          <cell r="E96">
            <v>393</v>
          </cell>
          <cell r="F96">
            <v>0.33816425120772947</v>
          </cell>
          <cell r="G96">
            <v>0.17811704834605599</v>
          </cell>
        </row>
        <row r="97">
          <cell r="B97">
            <v>44839</v>
          </cell>
          <cell r="C97">
            <v>45</v>
          </cell>
          <cell r="D97">
            <v>207</v>
          </cell>
          <cell r="E97">
            <v>393</v>
          </cell>
          <cell r="F97">
            <v>0.21739130434782608</v>
          </cell>
          <cell r="G97">
            <v>0.11450381679389313</v>
          </cell>
        </row>
        <row r="98">
          <cell r="B98">
            <v>44840</v>
          </cell>
          <cell r="C98">
            <v>77</v>
          </cell>
          <cell r="D98">
            <v>207</v>
          </cell>
          <cell r="E98">
            <v>393</v>
          </cell>
          <cell r="F98">
            <v>0.3719806763285024</v>
          </cell>
          <cell r="G98">
            <v>0.19592875318066158</v>
          </cell>
        </row>
        <row r="99">
          <cell r="B99">
            <v>44841</v>
          </cell>
          <cell r="C99">
            <v>61</v>
          </cell>
          <cell r="D99">
            <v>207</v>
          </cell>
          <cell r="E99">
            <v>393</v>
          </cell>
          <cell r="F99">
            <v>0.29468599033816423</v>
          </cell>
          <cell r="G99">
            <v>0.15521628498727735</v>
          </cell>
        </row>
        <row r="100">
          <cell r="B100">
            <v>44842</v>
          </cell>
          <cell r="C100">
            <v>56</v>
          </cell>
          <cell r="D100">
            <v>207</v>
          </cell>
          <cell r="E100">
            <v>393</v>
          </cell>
          <cell r="F100">
            <v>0.27053140096618356</v>
          </cell>
          <cell r="G100">
            <v>0.14249363867684478</v>
          </cell>
        </row>
        <row r="101">
          <cell r="B101">
            <v>44843</v>
          </cell>
          <cell r="C101">
            <v>66</v>
          </cell>
          <cell r="D101">
            <v>207</v>
          </cell>
          <cell r="E101">
            <v>393</v>
          </cell>
          <cell r="F101">
            <v>0.3188405797101449</v>
          </cell>
          <cell r="G101">
            <v>0.16793893129770993</v>
          </cell>
        </row>
        <row r="102">
          <cell r="B102">
            <v>44844</v>
          </cell>
          <cell r="C102">
            <v>51</v>
          </cell>
          <cell r="D102">
            <v>204</v>
          </cell>
          <cell r="E102">
            <v>393</v>
          </cell>
          <cell r="F102">
            <v>0.25</v>
          </cell>
          <cell r="G102">
            <v>0.12977099236641221</v>
          </cell>
        </row>
        <row r="103">
          <cell r="B103">
            <v>44845</v>
          </cell>
          <cell r="C103">
            <v>59</v>
          </cell>
          <cell r="D103">
            <v>204</v>
          </cell>
          <cell r="E103">
            <v>393</v>
          </cell>
          <cell r="F103">
            <v>0.28921568627450983</v>
          </cell>
          <cell r="G103">
            <v>0.15012722646310434</v>
          </cell>
        </row>
        <row r="104">
          <cell r="B104">
            <v>44846</v>
          </cell>
          <cell r="C104">
            <v>65</v>
          </cell>
          <cell r="D104">
            <v>204</v>
          </cell>
          <cell r="E104">
            <v>393</v>
          </cell>
          <cell r="F104">
            <v>0.31862745098039214</v>
          </cell>
          <cell r="G104">
            <v>0.16539440203562342</v>
          </cell>
        </row>
        <row r="105">
          <cell r="B105">
            <v>44847</v>
          </cell>
          <cell r="C105">
            <v>53</v>
          </cell>
          <cell r="D105">
            <v>204</v>
          </cell>
          <cell r="E105">
            <v>393</v>
          </cell>
          <cell r="F105">
            <v>0.25980392156862747</v>
          </cell>
          <cell r="G105">
            <v>0.13486005089058525</v>
          </cell>
        </row>
        <row r="106">
          <cell r="B106">
            <v>44848</v>
          </cell>
          <cell r="C106">
            <v>72</v>
          </cell>
          <cell r="D106">
            <v>204</v>
          </cell>
          <cell r="E106">
            <v>393</v>
          </cell>
          <cell r="F106">
            <v>0.35294117647058826</v>
          </cell>
          <cell r="G106">
            <v>0.18320610687022901</v>
          </cell>
        </row>
        <row r="107">
          <cell r="B107">
            <v>44849</v>
          </cell>
          <cell r="C107">
            <v>62</v>
          </cell>
          <cell r="D107">
            <v>204</v>
          </cell>
          <cell r="E107">
            <v>393</v>
          </cell>
          <cell r="F107">
            <v>0.30392156862745096</v>
          </cell>
          <cell r="G107">
            <v>0.15776081424936386</v>
          </cell>
        </row>
        <row r="108">
          <cell r="B108">
            <v>44850</v>
          </cell>
          <cell r="C108">
            <v>62</v>
          </cell>
          <cell r="D108">
            <v>204</v>
          </cell>
          <cell r="E108">
            <v>393</v>
          </cell>
          <cell r="F108">
            <v>0.30392156862745096</v>
          </cell>
          <cell r="G108">
            <v>0.15776081424936386</v>
          </cell>
        </row>
        <row r="109">
          <cell r="B109">
            <v>44851</v>
          </cell>
          <cell r="C109">
            <v>70</v>
          </cell>
          <cell r="D109">
            <v>201</v>
          </cell>
          <cell r="E109">
            <v>393</v>
          </cell>
          <cell r="F109">
            <v>0.34825870646766172</v>
          </cell>
          <cell r="G109">
            <v>0.17811704834605599</v>
          </cell>
        </row>
        <row r="110">
          <cell r="B110">
            <v>44852</v>
          </cell>
          <cell r="C110">
            <v>62</v>
          </cell>
          <cell r="D110">
            <v>201</v>
          </cell>
          <cell r="E110">
            <v>393</v>
          </cell>
          <cell r="F110">
            <v>0.30845771144278605</v>
          </cell>
          <cell r="G110">
            <v>0.15776081424936386</v>
          </cell>
        </row>
        <row r="111">
          <cell r="B111">
            <v>44853</v>
          </cell>
          <cell r="C111">
            <v>82</v>
          </cell>
          <cell r="D111">
            <v>201</v>
          </cell>
          <cell r="E111">
            <v>393</v>
          </cell>
          <cell r="F111">
            <v>0.4079601990049751</v>
          </cell>
          <cell r="G111">
            <v>0.20865139949109415</v>
          </cell>
        </row>
        <row r="112">
          <cell r="B112">
            <v>44854</v>
          </cell>
          <cell r="C112">
            <v>52</v>
          </cell>
          <cell r="D112">
            <v>201</v>
          </cell>
          <cell r="E112">
            <v>393</v>
          </cell>
          <cell r="F112">
            <v>0.25870646766169153</v>
          </cell>
          <cell r="G112">
            <v>0.13231552162849872</v>
          </cell>
        </row>
        <row r="113">
          <cell r="B113">
            <v>44855</v>
          </cell>
          <cell r="C113">
            <v>65</v>
          </cell>
          <cell r="D113">
            <v>201</v>
          </cell>
          <cell r="E113">
            <v>393</v>
          </cell>
          <cell r="F113">
            <v>0.32338308457711445</v>
          </cell>
          <cell r="G113">
            <v>0.16539440203562342</v>
          </cell>
        </row>
        <row r="114">
          <cell r="B114">
            <v>44856</v>
          </cell>
          <cell r="C114">
            <v>64</v>
          </cell>
          <cell r="D114">
            <v>201</v>
          </cell>
          <cell r="E114">
            <v>393</v>
          </cell>
          <cell r="F114">
            <v>0.31840796019900497</v>
          </cell>
          <cell r="G114">
            <v>0.16284987277353691</v>
          </cell>
        </row>
        <row r="115">
          <cell r="B115">
            <v>44857</v>
          </cell>
          <cell r="C115">
            <v>57</v>
          </cell>
          <cell r="D115">
            <v>201</v>
          </cell>
          <cell r="E115">
            <v>393</v>
          </cell>
          <cell r="F115">
            <v>0.28358208955223879</v>
          </cell>
          <cell r="G115">
            <v>0.14503816793893129</v>
          </cell>
        </row>
        <row r="116">
          <cell r="B116">
            <v>44858</v>
          </cell>
          <cell r="C116">
            <v>58</v>
          </cell>
          <cell r="D116">
            <v>213</v>
          </cell>
          <cell r="E116">
            <v>393</v>
          </cell>
          <cell r="F116">
            <v>0.27230046948356806</v>
          </cell>
          <cell r="G116">
            <v>0.1475826972010178</v>
          </cell>
        </row>
        <row r="117">
          <cell r="B117">
            <v>44859</v>
          </cell>
          <cell r="C117">
            <v>66</v>
          </cell>
          <cell r="D117">
            <v>213</v>
          </cell>
          <cell r="E117">
            <v>393</v>
          </cell>
          <cell r="F117">
            <v>0.30985915492957744</v>
          </cell>
          <cell r="G117">
            <v>0.16793893129770993</v>
          </cell>
        </row>
        <row r="118">
          <cell r="B118">
            <v>44860</v>
          </cell>
          <cell r="C118">
            <v>60</v>
          </cell>
          <cell r="D118">
            <v>213</v>
          </cell>
          <cell r="E118">
            <v>393</v>
          </cell>
          <cell r="F118">
            <v>0.28169014084507044</v>
          </cell>
          <cell r="G118">
            <v>0.15267175572519084</v>
          </cell>
        </row>
        <row r="119">
          <cell r="B119">
            <v>44861</v>
          </cell>
          <cell r="C119">
            <v>55</v>
          </cell>
          <cell r="D119">
            <v>213</v>
          </cell>
          <cell r="E119">
            <v>393</v>
          </cell>
          <cell r="F119">
            <v>0.25821596244131456</v>
          </cell>
          <cell r="G119">
            <v>0.13994910941475827</v>
          </cell>
        </row>
        <row r="120">
          <cell r="B120">
            <v>44862</v>
          </cell>
          <cell r="C120">
            <v>65</v>
          </cell>
          <cell r="D120">
            <v>213</v>
          </cell>
          <cell r="E120">
            <v>393</v>
          </cell>
          <cell r="F120">
            <v>0.30516431924882631</v>
          </cell>
          <cell r="G120">
            <v>0.16539440203562342</v>
          </cell>
        </row>
        <row r="121">
          <cell r="B121">
            <v>44863</v>
          </cell>
          <cell r="C121">
            <v>54</v>
          </cell>
          <cell r="D121">
            <v>213</v>
          </cell>
          <cell r="E121">
            <v>393</v>
          </cell>
          <cell r="F121">
            <v>0.25352112676056338</v>
          </cell>
          <cell r="G121">
            <v>0.13740458015267176</v>
          </cell>
        </row>
        <row r="122">
          <cell r="B122">
            <v>44864</v>
          </cell>
          <cell r="C122">
            <v>66</v>
          </cell>
          <cell r="D122">
            <v>213</v>
          </cell>
          <cell r="E122">
            <v>393</v>
          </cell>
          <cell r="F122">
            <v>0.30985915492957744</v>
          </cell>
          <cell r="G122">
            <v>0.16793893129770993</v>
          </cell>
        </row>
        <row r="123">
          <cell r="B123">
            <v>44865</v>
          </cell>
          <cell r="C123">
            <v>72</v>
          </cell>
          <cell r="D123">
            <v>214</v>
          </cell>
          <cell r="E123">
            <v>393</v>
          </cell>
          <cell r="F123">
            <v>0.3364485981308411</v>
          </cell>
          <cell r="G123">
            <v>0.18320610687022901</v>
          </cell>
        </row>
        <row r="124">
          <cell r="B124">
            <v>44866</v>
          </cell>
          <cell r="C124">
            <v>58</v>
          </cell>
          <cell r="D124">
            <v>214</v>
          </cell>
          <cell r="E124">
            <v>426</v>
          </cell>
          <cell r="F124">
            <v>0.27102803738317754</v>
          </cell>
          <cell r="G124">
            <v>0.13615023474178403</v>
          </cell>
        </row>
        <row r="125">
          <cell r="B125">
            <v>44867</v>
          </cell>
          <cell r="C125">
            <v>55</v>
          </cell>
          <cell r="D125">
            <v>214</v>
          </cell>
          <cell r="E125">
            <v>426</v>
          </cell>
          <cell r="F125">
            <v>0.2570093457943925</v>
          </cell>
          <cell r="G125">
            <v>0.12910798122065728</v>
          </cell>
        </row>
        <row r="126">
          <cell r="B126">
            <v>44868</v>
          </cell>
          <cell r="C126">
            <v>56</v>
          </cell>
          <cell r="D126">
            <v>214</v>
          </cell>
          <cell r="E126">
            <v>426</v>
          </cell>
          <cell r="F126">
            <v>0.26168224299065418</v>
          </cell>
          <cell r="G126">
            <v>0.13145539906103287</v>
          </cell>
        </row>
        <row r="127">
          <cell r="B127">
            <v>44869</v>
          </cell>
          <cell r="C127">
            <v>63</v>
          </cell>
          <cell r="D127">
            <v>214</v>
          </cell>
          <cell r="E127">
            <v>426</v>
          </cell>
          <cell r="F127">
            <v>0.29439252336448596</v>
          </cell>
          <cell r="G127">
            <v>0.14788732394366197</v>
          </cell>
        </row>
        <row r="128">
          <cell r="B128">
            <v>44870</v>
          </cell>
          <cell r="C128">
            <v>69</v>
          </cell>
          <cell r="D128">
            <v>214</v>
          </cell>
          <cell r="E128">
            <v>426</v>
          </cell>
          <cell r="F128">
            <v>0.32242990654205606</v>
          </cell>
          <cell r="G128">
            <v>0.1619718309859155</v>
          </cell>
        </row>
        <row r="129">
          <cell r="B129">
            <v>44871</v>
          </cell>
          <cell r="C129">
            <v>62</v>
          </cell>
          <cell r="D129">
            <v>214</v>
          </cell>
          <cell r="E129">
            <v>426</v>
          </cell>
          <cell r="F129">
            <v>0.28971962616822428</v>
          </cell>
          <cell r="G129">
            <v>0.14553990610328638</v>
          </cell>
        </row>
        <row r="130">
          <cell r="B130">
            <v>44872</v>
          </cell>
          <cell r="C130">
            <v>60</v>
          </cell>
          <cell r="D130">
            <v>203</v>
          </cell>
          <cell r="E130">
            <v>426</v>
          </cell>
          <cell r="F130">
            <v>0.29556650246305421</v>
          </cell>
          <cell r="G130">
            <v>0.14084507042253522</v>
          </cell>
        </row>
        <row r="131">
          <cell r="B131">
            <v>44873</v>
          </cell>
          <cell r="C131">
            <v>60</v>
          </cell>
          <cell r="D131">
            <v>203</v>
          </cell>
          <cell r="E131">
            <v>426</v>
          </cell>
          <cell r="F131">
            <v>0.29556650246305421</v>
          </cell>
          <cell r="G131">
            <v>0.14084507042253522</v>
          </cell>
        </row>
        <row r="132">
          <cell r="B132">
            <v>44874</v>
          </cell>
          <cell r="C132">
            <v>60</v>
          </cell>
          <cell r="D132">
            <v>203</v>
          </cell>
          <cell r="E132">
            <v>426</v>
          </cell>
          <cell r="F132">
            <v>0.29556650246305421</v>
          </cell>
          <cell r="G132">
            <v>0.14084507042253522</v>
          </cell>
        </row>
        <row r="133">
          <cell r="B133">
            <v>44875</v>
          </cell>
          <cell r="C133">
            <v>55</v>
          </cell>
          <cell r="D133">
            <v>203</v>
          </cell>
          <cell r="E133">
            <v>426</v>
          </cell>
          <cell r="F133">
            <v>0.27093596059113301</v>
          </cell>
          <cell r="G133">
            <v>0.12910798122065728</v>
          </cell>
        </row>
        <row r="134">
          <cell r="B134">
            <v>44876</v>
          </cell>
          <cell r="C134">
            <v>62</v>
          </cell>
          <cell r="D134">
            <v>203</v>
          </cell>
          <cell r="E134">
            <v>426</v>
          </cell>
          <cell r="F134">
            <v>0.30541871921182268</v>
          </cell>
          <cell r="G134">
            <v>0.14553990610328638</v>
          </cell>
        </row>
        <row r="135">
          <cell r="B135">
            <v>44877</v>
          </cell>
          <cell r="C135">
            <v>53</v>
          </cell>
          <cell r="D135">
            <v>203</v>
          </cell>
          <cell r="E135">
            <v>426</v>
          </cell>
          <cell r="F135">
            <v>0.26108374384236455</v>
          </cell>
          <cell r="G135">
            <v>0.12441314553990611</v>
          </cell>
        </row>
        <row r="136">
          <cell r="B136">
            <v>44878</v>
          </cell>
          <cell r="C136">
            <v>54</v>
          </cell>
          <cell r="D136">
            <v>203</v>
          </cell>
          <cell r="E136">
            <v>426</v>
          </cell>
          <cell r="F136">
            <v>0.26600985221674878</v>
          </cell>
          <cell r="G136">
            <v>0.12676056338028169</v>
          </cell>
        </row>
        <row r="137">
          <cell r="B137">
            <v>44879</v>
          </cell>
          <cell r="C137">
            <v>46</v>
          </cell>
          <cell r="D137">
            <v>202</v>
          </cell>
          <cell r="E137">
            <v>426</v>
          </cell>
          <cell r="F137">
            <v>0.22772277227722773</v>
          </cell>
          <cell r="G137">
            <v>0.107981220657277</v>
          </cell>
        </row>
        <row r="138">
          <cell r="B138">
            <v>44880</v>
          </cell>
          <cell r="C138">
            <v>55</v>
          </cell>
          <cell r="D138">
            <v>202</v>
          </cell>
          <cell r="E138">
            <v>426</v>
          </cell>
          <cell r="F138">
            <v>0.2722772277227723</v>
          </cell>
          <cell r="G138">
            <v>0.12910798122065728</v>
          </cell>
        </row>
        <row r="139">
          <cell r="B139">
            <v>44881</v>
          </cell>
          <cell r="C139">
            <v>51</v>
          </cell>
          <cell r="D139">
            <v>202</v>
          </cell>
          <cell r="E139">
            <v>426</v>
          </cell>
          <cell r="F139">
            <v>0.25247524752475248</v>
          </cell>
          <cell r="G139">
            <v>0.11971830985915492</v>
          </cell>
        </row>
        <row r="140">
          <cell r="B140">
            <v>44882</v>
          </cell>
          <cell r="C140">
            <v>58</v>
          </cell>
          <cell r="D140">
            <v>202</v>
          </cell>
          <cell r="E140">
            <v>426</v>
          </cell>
          <cell r="F140">
            <v>0.28712871287128711</v>
          </cell>
          <cell r="G140">
            <v>0.13615023474178403</v>
          </cell>
        </row>
        <row r="141">
          <cell r="B141">
            <v>44883</v>
          </cell>
          <cell r="C141">
            <v>51</v>
          </cell>
          <cell r="D141">
            <v>202</v>
          </cell>
          <cell r="E141">
            <v>426</v>
          </cell>
          <cell r="F141">
            <v>0.25247524752475248</v>
          </cell>
          <cell r="G141">
            <v>0.11971830985915492</v>
          </cell>
        </row>
        <row r="142">
          <cell r="B142">
            <v>44884</v>
          </cell>
          <cell r="C142">
            <v>40</v>
          </cell>
          <cell r="D142">
            <v>202</v>
          </cell>
          <cell r="E142">
            <v>426</v>
          </cell>
          <cell r="F142">
            <v>0.19801980198019803</v>
          </cell>
          <cell r="G142">
            <v>9.3896713615023469E-2</v>
          </cell>
        </row>
        <row r="143">
          <cell r="B143">
            <v>44885</v>
          </cell>
          <cell r="C143">
            <v>50</v>
          </cell>
          <cell r="D143">
            <v>202</v>
          </cell>
          <cell r="E143">
            <v>426</v>
          </cell>
          <cell r="F143">
            <v>0.24752475247524752</v>
          </cell>
          <cell r="G143">
            <v>0.11737089201877934</v>
          </cell>
        </row>
        <row r="144">
          <cell r="B144">
            <v>44886</v>
          </cell>
          <cell r="C144">
            <v>34</v>
          </cell>
          <cell r="D144">
            <v>167</v>
          </cell>
          <cell r="E144">
            <v>426</v>
          </cell>
          <cell r="F144">
            <v>0.20359281437125748</v>
          </cell>
          <cell r="G144">
            <v>7.9812206572769953E-2</v>
          </cell>
        </row>
        <row r="145">
          <cell r="B145">
            <v>44887</v>
          </cell>
          <cell r="C145">
            <v>41</v>
          </cell>
          <cell r="D145">
            <v>167</v>
          </cell>
          <cell r="E145">
            <v>426</v>
          </cell>
          <cell r="F145">
            <v>0.24550898203592814</v>
          </cell>
          <cell r="G145">
            <v>9.6244131455399062E-2</v>
          </cell>
        </row>
        <row r="146">
          <cell r="B146">
            <v>44888</v>
          </cell>
          <cell r="C146">
            <v>39</v>
          </cell>
          <cell r="D146">
            <v>167</v>
          </cell>
          <cell r="E146">
            <v>426</v>
          </cell>
          <cell r="F146">
            <v>0.23353293413173654</v>
          </cell>
          <cell r="G146">
            <v>9.154929577464789E-2</v>
          </cell>
        </row>
        <row r="147">
          <cell r="B147">
            <v>44889</v>
          </cell>
          <cell r="C147">
            <v>32</v>
          </cell>
          <cell r="D147">
            <v>167</v>
          </cell>
          <cell r="E147">
            <v>426</v>
          </cell>
          <cell r="F147">
            <v>0.19161676646706588</v>
          </cell>
          <cell r="G147">
            <v>7.5117370892018781E-2</v>
          </cell>
        </row>
        <row r="148">
          <cell r="B148">
            <v>44890</v>
          </cell>
          <cell r="C148">
            <v>32</v>
          </cell>
          <cell r="D148">
            <v>167</v>
          </cell>
          <cell r="E148">
            <v>426</v>
          </cell>
          <cell r="F148">
            <v>0.19161676646706588</v>
          </cell>
          <cell r="G148">
            <v>7.5117370892018781E-2</v>
          </cell>
        </row>
        <row r="149">
          <cell r="B149">
            <v>44891</v>
          </cell>
          <cell r="C149">
            <v>31</v>
          </cell>
          <cell r="D149">
            <v>167</v>
          </cell>
          <cell r="E149">
            <v>426</v>
          </cell>
          <cell r="F149">
            <v>0.18562874251497005</v>
          </cell>
          <cell r="G149">
            <v>7.2769953051643188E-2</v>
          </cell>
        </row>
        <row r="150">
          <cell r="B150">
            <v>44892</v>
          </cell>
          <cell r="C150">
            <v>35</v>
          </cell>
          <cell r="D150">
            <v>167</v>
          </cell>
          <cell r="E150">
            <v>426</v>
          </cell>
          <cell r="F150">
            <v>0.20958083832335328</v>
          </cell>
          <cell r="G150">
            <v>8.2159624413145546E-2</v>
          </cell>
        </row>
        <row r="151">
          <cell r="B151">
            <v>44893</v>
          </cell>
          <cell r="C151">
            <v>32</v>
          </cell>
          <cell r="D151">
            <v>157</v>
          </cell>
          <cell r="E151">
            <v>426</v>
          </cell>
          <cell r="F151">
            <v>0.20382165605095542</v>
          </cell>
          <cell r="G151">
            <v>7.5117370892018781E-2</v>
          </cell>
        </row>
        <row r="152">
          <cell r="B152">
            <v>44894</v>
          </cell>
          <cell r="C152">
            <v>23</v>
          </cell>
          <cell r="D152">
            <v>157</v>
          </cell>
          <cell r="E152">
            <v>426</v>
          </cell>
          <cell r="F152">
            <v>0.1464968152866242</v>
          </cell>
          <cell r="G152">
            <v>5.39906103286385E-2</v>
          </cell>
        </row>
        <row r="153">
          <cell r="B153">
            <v>44895</v>
          </cell>
          <cell r="C153">
            <v>35</v>
          </cell>
          <cell r="D153">
            <v>157</v>
          </cell>
          <cell r="E153">
            <v>426</v>
          </cell>
          <cell r="F153">
            <v>0.22292993630573249</v>
          </cell>
          <cell r="G153">
            <v>8.2159624413145546E-2</v>
          </cell>
        </row>
        <row r="154">
          <cell r="B154">
            <v>44896</v>
          </cell>
          <cell r="C154">
            <v>32</v>
          </cell>
          <cell r="D154">
            <v>157</v>
          </cell>
          <cell r="E154">
            <v>390</v>
          </cell>
          <cell r="F154">
            <v>0.20382165605095542</v>
          </cell>
          <cell r="G154">
            <v>8.2051282051282051E-2</v>
          </cell>
        </row>
        <row r="155">
          <cell r="B155">
            <v>44897</v>
          </cell>
          <cell r="C155">
            <v>25</v>
          </cell>
          <cell r="D155">
            <v>157</v>
          </cell>
          <cell r="E155">
            <v>390</v>
          </cell>
          <cell r="F155">
            <v>0.15923566878980891</v>
          </cell>
          <cell r="G155">
            <v>6.4102564102564097E-2</v>
          </cell>
        </row>
        <row r="156">
          <cell r="B156">
            <v>44898</v>
          </cell>
          <cell r="C156">
            <v>19</v>
          </cell>
          <cell r="D156">
            <v>157</v>
          </cell>
          <cell r="E156">
            <v>390</v>
          </cell>
          <cell r="F156">
            <v>0.12101910828025478</v>
          </cell>
          <cell r="G156">
            <v>4.8717948717948718E-2</v>
          </cell>
        </row>
        <row r="157">
          <cell r="B157">
            <v>44899</v>
          </cell>
          <cell r="C157">
            <v>30</v>
          </cell>
          <cell r="D157">
            <v>157</v>
          </cell>
          <cell r="E157">
            <v>390</v>
          </cell>
          <cell r="F157">
            <v>0.19108280254777071</v>
          </cell>
          <cell r="G157">
            <v>7.6923076923076927E-2</v>
          </cell>
        </row>
        <row r="158">
          <cell r="B158">
            <v>44900</v>
          </cell>
          <cell r="C158">
            <v>23</v>
          </cell>
          <cell r="D158">
            <v>156</v>
          </cell>
          <cell r="E158">
            <v>390</v>
          </cell>
          <cell r="F158">
            <v>0.14743589743589744</v>
          </cell>
          <cell r="G158">
            <v>5.8974358974358973E-2</v>
          </cell>
        </row>
        <row r="159">
          <cell r="B159">
            <v>44901</v>
          </cell>
          <cell r="C159">
            <v>32</v>
          </cell>
          <cell r="D159">
            <v>156</v>
          </cell>
          <cell r="E159">
            <v>390</v>
          </cell>
          <cell r="F159">
            <v>0.20512820512820512</v>
          </cell>
          <cell r="G159">
            <v>8.2051282051282051E-2</v>
          </cell>
        </row>
        <row r="160">
          <cell r="B160">
            <v>44902</v>
          </cell>
          <cell r="C160">
            <v>35</v>
          </cell>
          <cell r="D160">
            <v>156</v>
          </cell>
          <cell r="E160">
            <v>390</v>
          </cell>
          <cell r="F160">
            <v>0.22435897435897437</v>
          </cell>
          <cell r="G160">
            <v>8.9743589743589744E-2</v>
          </cell>
        </row>
        <row r="161">
          <cell r="B161">
            <v>44903</v>
          </cell>
          <cell r="C161">
            <v>29</v>
          </cell>
          <cell r="D161">
            <v>156</v>
          </cell>
          <cell r="E161">
            <v>390</v>
          </cell>
          <cell r="F161">
            <v>0.1858974358974359</v>
          </cell>
          <cell r="G161">
            <v>7.4358974358974358E-2</v>
          </cell>
        </row>
        <row r="162">
          <cell r="B162">
            <v>44904</v>
          </cell>
          <cell r="C162">
            <v>36</v>
          </cell>
          <cell r="D162">
            <v>156</v>
          </cell>
          <cell r="E162">
            <v>390</v>
          </cell>
          <cell r="F162">
            <v>0.23076923076923078</v>
          </cell>
          <cell r="G162">
            <v>9.2307692307692313E-2</v>
          </cell>
        </row>
        <row r="163">
          <cell r="B163">
            <v>44905</v>
          </cell>
          <cell r="C163">
            <v>30</v>
          </cell>
          <cell r="D163">
            <v>156</v>
          </cell>
          <cell r="E163">
            <v>390</v>
          </cell>
          <cell r="F163">
            <v>0.19230769230769232</v>
          </cell>
          <cell r="G163">
            <v>7.6923076923076927E-2</v>
          </cell>
        </row>
        <row r="164">
          <cell r="B164">
            <v>44906</v>
          </cell>
          <cell r="C164">
            <v>25</v>
          </cell>
          <cell r="D164">
            <v>156</v>
          </cell>
          <cell r="E164">
            <v>390</v>
          </cell>
          <cell r="F164">
            <v>0.16025641025641027</v>
          </cell>
          <cell r="G164">
            <v>6.4102564102564097E-2</v>
          </cell>
        </row>
        <row r="165">
          <cell r="B165">
            <v>44907</v>
          </cell>
          <cell r="C165">
            <v>31</v>
          </cell>
          <cell r="D165">
            <v>153</v>
          </cell>
          <cell r="E165">
            <v>390</v>
          </cell>
          <cell r="F165">
            <v>0.20261437908496732</v>
          </cell>
          <cell r="G165">
            <v>7.9487179487179482E-2</v>
          </cell>
        </row>
        <row r="166">
          <cell r="B166">
            <v>44908</v>
          </cell>
          <cell r="C166">
            <v>34</v>
          </cell>
          <cell r="D166">
            <v>153</v>
          </cell>
          <cell r="E166">
            <v>390</v>
          </cell>
          <cell r="F166">
            <v>0.22222222222222221</v>
          </cell>
          <cell r="G166">
            <v>8.7179487179487175E-2</v>
          </cell>
        </row>
        <row r="167">
          <cell r="B167">
            <v>44909</v>
          </cell>
          <cell r="C167">
            <v>22</v>
          </cell>
          <cell r="D167">
            <v>153</v>
          </cell>
          <cell r="E167">
            <v>390</v>
          </cell>
          <cell r="F167">
            <v>0.1437908496732026</v>
          </cell>
          <cell r="G167">
            <v>5.6410256410256411E-2</v>
          </cell>
        </row>
        <row r="168">
          <cell r="B168">
            <v>44910</v>
          </cell>
          <cell r="C168">
            <v>26</v>
          </cell>
          <cell r="D168">
            <v>153</v>
          </cell>
          <cell r="E168">
            <v>390</v>
          </cell>
          <cell r="F168">
            <v>0.16993464052287582</v>
          </cell>
          <cell r="G168">
            <v>6.6666666666666666E-2</v>
          </cell>
        </row>
        <row r="169">
          <cell r="B169">
            <v>44911</v>
          </cell>
          <cell r="C169">
            <v>27</v>
          </cell>
          <cell r="D169">
            <v>153</v>
          </cell>
          <cell r="E169">
            <v>390</v>
          </cell>
          <cell r="F169">
            <v>0.17647058823529413</v>
          </cell>
          <cell r="G169">
            <v>6.9230769230769235E-2</v>
          </cell>
        </row>
        <row r="170">
          <cell r="B170">
            <v>44912</v>
          </cell>
          <cell r="C170">
            <v>28</v>
          </cell>
          <cell r="D170">
            <v>153</v>
          </cell>
          <cell r="E170">
            <v>390</v>
          </cell>
          <cell r="F170">
            <v>0.18300653594771241</v>
          </cell>
          <cell r="G170">
            <v>7.179487179487179E-2</v>
          </cell>
        </row>
        <row r="171">
          <cell r="B171">
            <v>44913</v>
          </cell>
          <cell r="C171">
            <v>20</v>
          </cell>
          <cell r="D171">
            <v>153</v>
          </cell>
          <cell r="E171">
            <v>390</v>
          </cell>
          <cell r="F171">
            <v>0.13071895424836602</v>
          </cell>
          <cell r="G171">
            <v>5.128205128205128E-2</v>
          </cell>
        </row>
        <row r="172">
          <cell r="B172">
            <v>44914</v>
          </cell>
          <cell r="C172">
            <v>32</v>
          </cell>
          <cell r="D172">
            <v>145</v>
          </cell>
          <cell r="E172">
            <v>390</v>
          </cell>
          <cell r="F172">
            <v>0.22068965517241379</v>
          </cell>
          <cell r="G172">
            <v>8.2051282051282051E-2</v>
          </cell>
        </row>
        <row r="173">
          <cell r="B173">
            <v>44915</v>
          </cell>
          <cell r="C173">
            <v>28</v>
          </cell>
          <cell r="D173">
            <v>145</v>
          </cell>
          <cell r="E173">
            <v>390</v>
          </cell>
          <cell r="F173">
            <v>0.19310344827586207</v>
          </cell>
          <cell r="G173">
            <v>7.179487179487179E-2</v>
          </cell>
        </row>
        <row r="174">
          <cell r="B174">
            <v>44916</v>
          </cell>
          <cell r="C174">
            <v>28</v>
          </cell>
          <cell r="D174">
            <v>145</v>
          </cell>
          <cell r="E174">
            <v>390</v>
          </cell>
          <cell r="F174">
            <v>0.19310344827586207</v>
          </cell>
          <cell r="G174">
            <v>7.179487179487179E-2</v>
          </cell>
        </row>
        <row r="175">
          <cell r="B175">
            <v>44917</v>
          </cell>
          <cell r="C175">
            <v>29</v>
          </cell>
          <cell r="D175">
            <v>145</v>
          </cell>
          <cell r="E175">
            <v>390</v>
          </cell>
          <cell r="F175">
            <v>0.2</v>
          </cell>
          <cell r="G175">
            <v>7.4358974358974358E-2</v>
          </cell>
        </row>
        <row r="176">
          <cell r="B176">
            <v>44918</v>
          </cell>
          <cell r="C176">
            <v>36</v>
          </cell>
          <cell r="D176">
            <v>145</v>
          </cell>
          <cell r="E176">
            <v>390</v>
          </cell>
          <cell r="F176">
            <v>0.24827586206896551</v>
          </cell>
          <cell r="G176">
            <v>9.2307692307692313E-2</v>
          </cell>
        </row>
        <row r="177">
          <cell r="B177">
            <v>44919</v>
          </cell>
          <cell r="C177">
            <v>24</v>
          </cell>
          <cell r="D177">
            <v>145</v>
          </cell>
          <cell r="E177">
            <v>390</v>
          </cell>
          <cell r="F177">
            <v>0.16551724137931034</v>
          </cell>
          <cell r="G177">
            <v>6.1538461538461542E-2</v>
          </cell>
        </row>
        <row r="178">
          <cell r="B178">
            <v>44920</v>
          </cell>
          <cell r="C178">
            <v>33</v>
          </cell>
          <cell r="D178">
            <v>145</v>
          </cell>
          <cell r="E178">
            <v>390</v>
          </cell>
          <cell r="F178">
            <v>0.22758620689655173</v>
          </cell>
          <cell r="G178">
            <v>8.461538461538462E-2</v>
          </cell>
        </row>
        <row r="179">
          <cell r="B179">
            <v>44921</v>
          </cell>
          <cell r="C179">
            <v>26</v>
          </cell>
          <cell r="D179">
            <v>141</v>
          </cell>
          <cell r="E179">
            <v>390</v>
          </cell>
          <cell r="F179">
            <v>0.18439716312056736</v>
          </cell>
          <cell r="G179">
            <v>6.6666666666666666E-2</v>
          </cell>
        </row>
        <row r="180">
          <cell r="B180">
            <v>44922</v>
          </cell>
          <cell r="C180">
            <v>24</v>
          </cell>
          <cell r="D180">
            <v>141</v>
          </cell>
          <cell r="E180">
            <v>390</v>
          </cell>
          <cell r="F180">
            <v>0.1702127659574468</v>
          </cell>
          <cell r="G180">
            <v>6.1538461538461542E-2</v>
          </cell>
        </row>
        <row r="181">
          <cell r="B181">
            <v>44923</v>
          </cell>
          <cell r="C181">
            <v>32</v>
          </cell>
          <cell r="D181">
            <v>141</v>
          </cell>
          <cell r="E181">
            <v>390</v>
          </cell>
          <cell r="F181">
            <v>0.22695035460992907</v>
          </cell>
          <cell r="G181">
            <v>8.2051282051282051E-2</v>
          </cell>
        </row>
        <row r="182">
          <cell r="B182">
            <v>44924</v>
          </cell>
          <cell r="C182">
            <v>29</v>
          </cell>
          <cell r="D182">
            <v>141</v>
          </cell>
          <cell r="E182">
            <v>390</v>
          </cell>
          <cell r="F182">
            <v>0.20567375886524822</v>
          </cell>
          <cell r="G182">
            <v>7.4358974358974358E-2</v>
          </cell>
        </row>
        <row r="183">
          <cell r="B183">
            <v>44925</v>
          </cell>
          <cell r="C183">
            <v>22</v>
          </cell>
          <cell r="D183">
            <v>141</v>
          </cell>
          <cell r="E183">
            <v>390</v>
          </cell>
          <cell r="F183">
            <v>0.15602836879432624</v>
          </cell>
          <cell r="G183">
            <v>5.6410256410256411E-2</v>
          </cell>
        </row>
        <row r="184">
          <cell r="B184">
            <v>44926</v>
          </cell>
          <cell r="C184">
            <v>37</v>
          </cell>
          <cell r="D184">
            <v>141</v>
          </cell>
          <cell r="E184">
            <v>390</v>
          </cell>
          <cell r="F184">
            <v>0.26241134751773049</v>
          </cell>
          <cell r="G184">
            <v>9.4871794871794868E-2</v>
          </cell>
        </row>
        <row r="185">
          <cell r="B185">
            <v>44927</v>
          </cell>
          <cell r="C185">
            <v>24</v>
          </cell>
          <cell r="D185">
            <v>141</v>
          </cell>
          <cell r="E185">
            <v>536</v>
          </cell>
          <cell r="F185">
            <v>0.1702127659574468</v>
          </cell>
          <cell r="G185">
            <v>4.4776119402985072E-2</v>
          </cell>
        </row>
        <row r="186">
          <cell r="B186">
            <v>44928</v>
          </cell>
          <cell r="C186">
            <v>35</v>
          </cell>
          <cell r="D186">
            <v>190</v>
          </cell>
          <cell r="E186">
            <v>536</v>
          </cell>
          <cell r="F186">
            <v>0.18421052631578946</v>
          </cell>
          <cell r="G186">
            <v>6.5298507462686561E-2</v>
          </cell>
        </row>
        <row r="187">
          <cell r="B187">
            <v>44929</v>
          </cell>
          <cell r="C187">
            <v>40</v>
          </cell>
          <cell r="D187">
            <v>190</v>
          </cell>
          <cell r="E187">
            <v>536</v>
          </cell>
          <cell r="F187">
            <v>0.21052631578947367</v>
          </cell>
          <cell r="G187">
            <v>7.4626865671641784E-2</v>
          </cell>
        </row>
        <row r="188">
          <cell r="B188">
            <v>44930</v>
          </cell>
          <cell r="C188">
            <v>46</v>
          </cell>
          <cell r="D188">
            <v>190</v>
          </cell>
          <cell r="E188">
            <v>536</v>
          </cell>
          <cell r="F188">
            <v>0.24210526315789474</v>
          </cell>
          <cell r="G188">
            <v>8.5820895522388058E-2</v>
          </cell>
        </row>
        <row r="189">
          <cell r="B189">
            <v>44931</v>
          </cell>
          <cell r="C189">
            <v>36</v>
          </cell>
          <cell r="D189">
            <v>190</v>
          </cell>
          <cell r="E189">
            <v>536</v>
          </cell>
          <cell r="F189">
            <v>0.18947368421052632</v>
          </cell>
          <cell r="G189">
            <v>6.7164179104477612E-2</v>
          </cell>
        </row>
        <row r="190">
          <cell r="B190">
            <v>44932</v>
          </cell>
          <cell r="C190">
            <v>46</v>
          </cell>
          <cell r="D190">
            <v>190</v>
          </cell>
          <cell r="E190">
            <v>536</v>
          </cell>
          <cell r="F190">
            <v>0.24210526315789474</v>
          </cell>
          <cell r="G190">
            <v>8.5820895522388058E-2</v>
          </cell>
        </row>
        <row r="191">
          <cell r="B191">
            <v>44933</v>
          </cell>
          <cell r="C191">
            <v>35</v>
          </cell>
          <cell r="D191">
            <v>190</v>
          </cell>
          <cell r="E191">
            <v>536</v>
          </cell>
          <cell r="F191">
            <v>0.18421052631578946</v>
          </cell>
          <cell r="G191">
            <v>6.5298507462686561E-2</v>
          </cell>
        </row>
        <row r="192">
          <cell r="B192">
            <v>44934</v>
          </cell>
          <cell r="C192">
            <v>53</v>
          </cell>
          <cell r="D192">
            <v>190</v>
          </cell>
          <cell r="E192">
            <v>536</v>
          </cell>
          <cell r="F192">
            <v>0.27894736842105261</v>
          </cell>
          <cell r="G192">
            <v>9.8880597014925367E-2</v>
          </cell>
        </row>
        <row r="193">
          <cell r="B193">
            <v>44935</v>
          </cell>
          <cell r="C193">
            <v>53</v>
          </cell>
          <cell r="D193">
            <v>233</v>
          </cell>
          <cell r="E193">
            <v>536</v>
          </cell>
          <cell r="F193">
            <v>0.22746781115879827</v>
          </cell>
          <cell r="G193">
            <v>9.8880597014925367E-2</v>
          </cell>
        </row>
        <row r="194">
          <cell r="B194">
            <v>44936</v>
          </cell>
          <cell r="C194">
            <v>52</v>
          </cell>
          <cell r="D194">
            <v>233</v>
          </cell>
          <cell r="E194">
            <v>536</v>
          </cell>
          <cell r="F194">
            <v>0.22317596566523606</v>
          </cell>
          <cell r="G194">
            <v>9.7014925373134331E-2</v>
          </cell>
        </row>
        <row r="195">
          <cell r="B195">
            <v>44937</v>
          </cell>
          <cell r="C195">
            <v>65</v>
          </cell>
          <cell r="D195">
            <v>233</v>
          </cell>
          <cell r="E195">
            <v>536</v>
          </cell>
          <cell r="F195">
            <v>0.27896995708154504</v>
          </cell>
          <cell r="G195">
            <v>0.12126865671641791</v>
          </cell>
        </row>
        <row r="196">
          <cell r="B196">
            <v>44938</v>
          </cell>
          <cell r="C196">
            <v>52</v>
          </cell>
          <cell r="D196">
            <v>233</v>
          </cell>
          <cell r="E196">
            <v>536</v>
          </cell>
          <cell r="F196">
            <v>0.22317596566523606</v>
          </cell>
          <cell r="G196">
            <v>9.7014925373134331E-2</v>
          </cell>
        </row>
        <row r="197">
          <cell r="B197">
            <v>44939</v>
          </cell>
          <cell r="C197">
            <v>62</v>
          </cell>
          <cell r="D197">
            <v>233</v>
          </cell>
          <cell r="E197">
            <v>536</v>
          </cell>
          <cell r="F197">
            <v>0.26609442060085836</v>
          </cell>
          <cell r="G197">
            <v>0.11567164179104478</v>
          </cell>
        </row>
        <row r="198">
          <cell r="B198">
            <v>44940</v>
          </cell>
          <cell r="C198">
            <v>77</v>
          </cell>
          <cell r="D198">
            <v>233</v>
          </cell>
          <cell r="E198">
            <v>536</v>
          </cell>
          <cell r="F198">
            <v>0.33047210300429186</v>
          </cell>
          <cell r="G198">
            <v>0.14365671641791045</v>
          </cell>
        </row>
        <row r="199">
          <cell r="B199">
            <v>44941</v>
          </cell>
          <cell r="C199">
            <v>61</v>
          </cell>
          <cell r="D199">
            <v>233</v>
          </cell>
          <cell r="E199">
            <v>536</v>
          </cell>
          <cell r="F199">
            <v>0.26180257510729615</v>
          </cell>
          <cell r="G199">
            <v>0.11380597014925373</v>
          </cell>
        </row>
        <row r="200">
          <cell r="B200">
            <v>44942</v>
          </cell>
          <cell r="C200">
            <v>70</v>
          </cell>
          <cell r="D200">
            <v>272</v>
          </cell>
          <cell r="E200">
            <v>536</v>
          </cell>
          <cell r="F200">
            <v>0.25735294117647056</v>
          </cell>
          <cell r="G200">
            <v>0.13059701492537312</v>
          </cell>
        </row>
        <row r="201">
          <cell r="B201">
            <v>44943</v>
          </cell>
          <cell r="C201">
            <v>66</v>
          </cell>
          <cell r="D201">
            <v>272</v>
          </cell>
          <cell r="E201">
            <v>536</v>
          </cell>
          <cell r="F201">
            <v>0.24264705882352941</v>
          </cell>
          <cell r="G201">
            <v>0.12313432835820895</v>
          </cell>
        </row>
        <row r="202">
          <cell r="B202">
            <v>44944</v>
          </cell>
          <cell r="C202">
            <v>73</v>
          </cell>
          <cell r="D202">
            <v>272</v>
          </cell>
          <cell r="E202">
            <v>536</v>
          </cell>
          <cell r="F202">
            <v>0.26838235294117646</v>
          </cell>
          <cell r="G202">
            <v>0.13619402985074627</v>
          </cell>
        </row>
        <row r="203">
          <cell r="B203">
            <v>44945</v>
          </cell>
          <cell r="C203">
            <v>73</v>
          </cell>
          <cell r="D203">
            <v>272</v>
          </cell>
          <cell r="E203">
            <v>536</v>
          </cell>
          <cell r="F203">
            <v>0.26838235294117646</v>
          </cell>
          <cell r="G203">
            <v>0.13619402985074627</v>
          </cell>
        </row>
        <row r="204">
          <cell r="B204">
            <v>44946</v>
          </cell>
          <cell r="C204">
            <v>80</v>
          </cell>
          <cell r="D204">
            <v>272</v>
          </cell>
          <cell r="E204">
            <v>536</v>
          </cell>
          <cell r="F204">
            <v>0.29411764705882354</v>
          </cell>
          <cell r="G204">
            <v>0.14925373134328357</v>
          </cell>
        </row>
        <row r="205">
          <cell r="B205">
            <v>44947</v>
          </cell>
          <cell r="C205">
            <v>75</v>
          </cell>
          <cell r="D205">
            <v>272</v>
          </cell>
          <cell r="E205">
            <v>536</v>
          </cell>
          <cell r="F205">
            <v>0.27573529411764708</v>
          </cell>
          <cell r="G205">
            <v>0.13992537313432835</v>
          </cell>
        </row>
        <row r="206">
          <cell r="B206">
            <v>44948</v>
          </cell>
          <cell r="C206">
            <v>90</v>
          </cell>
          <cell r="D206">
            <v>272</v>
          </cell>
          <cell r="E206">
            <v>536</v>
          </cell>
          <cell r="F206">
            <v>0.33088235294117646</v>
          </cell>
          <cell r="G206">
            <v>0.16791044776119404</v>
          </cell>
        </row>
        <row r="207">
          <cell r="B207">
            <v>44949</v>
          </cell>
          <cell r="C207">
            <v>78</v>
          </cell>
          <cell r="D207">
            <v>295</v>
          </cell>
          <cell r="E207">
            <v>536</v>
          </cell>
          <cell r="F207">
            <v>0.26440677966101694</v>
          </cell>
          <cell r="G207">
            <v>0.1455223880597015</v>
          </cell>
        </row>
        <row r="208">
          <cell r="B208">
            <v>44950</v>
          </cell>
          <cell r="C208">
            <v>90</v>
          </cell>
          <cell r="D208">
            <v>295</v>
          </cell>
          <cell r="E208">
            <v>536</v>
          </cell>
          <cell r="F208">
            <v>0.30508474576271188</v>
          </cell>
          <cell r="G208">
            <v>0.16791044776119404</v>
          </cell>
        </row>
        <row r="209">
          <cell r="B209">
            <v>44951</v>
          </cell>
          <cell r="C209">
            <v>88</v>
          </cell>
          <cell r="D209">
            <v>295</v>
          </cell>
          <cell r="E209">
            <v>536</v>
          </cell>
          <cell r="F209">
            <v>0.29830508474576273</v>
          </cell>
          <cell r="G209">
            <v>0.16417910447761194</v>
          </cell>
        </row>
        <row r="210">
          <cell r="B210">
            <v>44952</v>
          </cell>
          <cell r="C210">
            <v>83</v>
          </cell>
          <cell r="D210">
            <v>295</v>
          </cell>
          <cell r="E210">
            <v>536</v>
          </cell>
          <cell r="F210">
            <v>0.28135593220338984</v>
          </cell>
          <cell r="G210">
            <v>0.15485074626865672</v>
          </cell>
        </row>
        <row r="211">
          <cell r="B211">
            <v>44953</v>
          </cell>
          <cell r="C211">
            <v>92</v>
          </cell>
          <cell r="D211">
            <v>295</v>
          </cell>
          <cell r="E211">
            <v>536</v>
          </cell>
          <cell r="F211">
            <v>0.31186440677966104</v>
          </cell>
          <cell r="G211">
            <v>0.17164179104477612</v>
          </cell>
        </row>
        <row r="212">
          <cell r="B212">
            <v>44954</v>
          </cell>
          <cell r="C212">
            <v>99</v>
          </cell>
          <cell r="D212">
            <v>295</v>
          </cell>
          <cell r="E212">
            <v>536</v>
          </cell>
          <cell r="F212">
            <v>0.33559322033898303</v>
          </cell>
          <cell r="G212">
            <v>0.18470149253731344</v>
          </cell>
        </row>
        <row r="213">
          <cell r="B213">
            <v>44955</v>
          </cell>
          <cell r="C213">
            <v>93</v>
          </cell>
          <cell r="D213">
            <v>295</v>
          </cell>
          <cell r="E213">
            <v>536</v>
          </cell>
          <cell r="F213">
            <v>0.31525423728813562</v>
          </cell>
          <cell r="G213">
            <v>0.17350746268656717</v>
          </cell>
        </row>
        <row r="214">
          <cell r="B214">
            <v>44956</v>
          </cell>
          <cell r="C214">
            <v>115</v>
          </cell>
          <cell r="D214">
            <v>346</v>
          </cell>
          <cell r="E214">
            <v>536</v>
          </cell>
          <cell r="F214">
            <v>0.33236994219653176</v>
          </cell>
          <cell r="G214">
            <v>0.21455223880597016</v>
          </cell>
        </row>
        <row r="215">
          <cell r="B215">
            <v>44957</v>
          </cell>
          <cell r="C215">
            <v>108</v>
          </cell>
          <cell r="D215">
            <v>346</v>
          </cell>
          <cell r="E215">
            <v>536</v>
          </cell>
          <cell r="F215">
            <v>0.31213872832369943</v>
          </cell>
          <cell r="G215">
            <v>0.20149253731343283</v>
          </cell>
        </row>
        <row r="216">
          <cell r="B216">
            <v>44958</v>
          </cell>
          <cell r="C216">
            <v>112</v>
          </cell>
          <cell r="D216">
            <v>346</v>
          </cell>
          <cell r="E216">
            <v>696</v>
          </cell>
          <cell r="F216">
            <v>0.32369942196531792</v>
          </cell>
          <cell r="G216">
            <v>0.16091954022988506</v>
          </cell>
        </row>
        <row r="217">
          <cell r="B217">
            <v>44959</v>
          </cell>
          <cell r="C217">
            <v>86</v>
          </cell>
          <cell r="D217">
            <v>346</v>
          </cell>
          <cell r="E217">
            <v>696</v>
          </cell>
          <cell r="F217">
            <v>0.24855491329479767</v>
          </cell>
          <cell r="G217">
            <v>0.1235632183908046</v>
          </cell>
        </row>
        <row r="218">
          <cell r="B218">
            <v>44960</v>
          </cell>
          <cell r="C218">
            <v>98</v>
          </cell>
          <cell r="D218">
            <v>346</v>
          </cell>
          <cell r="E218">
            <v>696</v>
          </cell>
          <cell r="F218">
            <v>0.2832369942196532</v>
          </cell>
          <cell r="G218">
            <v>0.14080459770114942</v>
          </cell>
        </row>
        <row r="219">
          <cell r="B219">
            <v>44961</v>
          </cell>
          <cell r="C219">
            <v>100</v>
          </cell>
          <cell r="D219">
            <v>346</v>
          </cell>
          <cell r="E219">
            <v>696</v>
          </cell>
          <cell r="F219">
            <v>0.28901734104046245</v>
          </cell>
          <cell r="G219">
            <v>0.14367816091954022</v>
          </cell>
        </row>
        <row r="220">
          <cell r="B220">
            <v>44962</v>
          </cell>
          <cell r="C220">
            <v>95</v>
          </cell>
          <cell r="D220">
            <v>346</v>
          </cell>
          <cell r="E220">
            <v>696</v>
          </cell>
          <cell r="F220">
            <v>0.27456647398843931</v>
          </cell>
          <cell r="G220">
            <v>0.13649425287356323</v>
          </cell>
        </row>
        <row r="221">
          <cell r="B221">
            <v>44963</v>
          </cell>
          <cell r="C221">
            <v>98</v>
          </cell>
          <cell r="D221">
            <v>340</v>
          </cell>
          <cell r="E221">
            <v>696</v>
          </cell>
          <cell r="F221">
            <v>0.28823529411764703</v>
          </cell>
          <cell r="G221">
            <v>0.14080459770114942</v>
          </cell>
        </row>
        <row r="222">
          <cell r="B222">
            <v>44964</v>
          </cell>
          <cell r="C222">
            <v>90</v>
          </cell>
          <cell r="D222">
            <v>340</v>
          </cell>
          <cell r="E222">
            <v>696</v>
          </cell>
          <cell r="F222">
            <v>0.26470588235294118</v>
          </cell>
          <cell r="G222">
            <v>0.12931034482758622</v>
          </cell>
        </row>
        <row r="223">
          <cell r="B223">
            <v>44965</v>
          </cell>
          <cell r="C223">
            <v>107</v>
          </cell>
          <cell r="D223">
            <v>340</v>
          </cell>
          <cell r="E223">
            <v>696</v>
          </cell>
          <cell r="F223">
            <v>0.31470588235294117</v>
          </cell>
          <cell r="G223">
            <v>0.15373563218390804</v>
          </cell>
        </row>
        <row r="224">
          <cell r="B224">
            <v>44966</v>
          </cell>
          <cell r="C224">
            <v>101</v>
          </cell>
          <cell r="D224">
            <v>340</v>
          </cell>
          <cell r="E224">
            <v>696</v>
          </cell>
          <cell r="F224">
            <v>0.29705882352941176</v>
          </cell>
          <cell r="G224">
            <v>0.14511494252873564</v>
          </cell>
        </row>
        <row r="225">
          <cell r="B225">
            <v>44967</v>
          </cell>
          <cell r="C225">
            <v>104</v>
          </cell>
          <cell r="D225">
            <v>340</v>
          </cell>
          <cell r="E225">
            <v>696</v>
          </cell>
          <cell r="F225">
            <v>0.30588235294117649</v>
          </cell>
          <cell r="G225">
            <v>0.14942528735632185</v>
          </cell>
        </row>
        <row r="226">
          <cell r="B226">
            <v>44968</v>
          </cell>
          <cell r="C226">
            <v>98</v>
          </cell>
          <cell r="D226">
            <v>340</v>
          </cell>
          <cell r="E226">
            <v>696</v>
          </cell>
          <cell r="F226">
            <v>0.28823529411764703</v>
          </cell>
          <cell r="G226">
            <v>0.14080459770114942</v>
          </cell>
        </row>
        <row r="227">
          <cell r="B227">
            <v>44969</v>
          </cell>
          <cell r="C227">
            <v>101</v>
          </cell>
          <cell r="D227">
            <v>340</v>
          </cell>
          <cell r="E227">
            <v>696</v>
          </cell>
          <cell r="F227">
            <v>0.29705882352941176</v>
          </cell>
          <cell r="G227">
            <v>0.14511494252873564</v>
          </cell>
        </row>
        <row r="228">
          <cell r="B228">
            <v>44970</v>
          </cell>
          <cell r="C228">
            <v>94</v>
          </cell>
          <cell r="D228">
            <v>347</v>
          </cell>
          <cell r="E228">
            <v>696</v>
          </cell>
          <cell r="F228">
            <v>0.27089337175792505</v>
          </cell>
          <cell r="G228">
            <v>0.13505747126436782</v>
          </cell>
        </row>
        <row r="229">
          <cell r="B229">
            <v>44971</v>
          </cell>
          <cell r="C229">
            <v>108</v>
          </cell>
          <cell r="D229">
            <v>347</v>
          </cell>
          <cell r="E229">
            <v>696</v>
          </cell>
          <cell r="F229">
            <v>0.31123919308357351</v>
          </cell>
          <cell r="G229">
            <v>0.15517241379310345</v>
          </cell>
        </row>
        <row r="230">
          <cell r="B230">
            <v>44972</v>
          </cell>
          <cell r="C230">
            <v>103</v>
          </cell>
          <cell r="D230">
            <v>347</v>
          </cell>
          <cell r="E230">
            <v>696</v>
          </cell>
          <cell r="F230">
            <v>0.29682997118155618</v>
          </cell>
          <cell r="G230">
            <v>0.14798850574712644</v>
          </cell>
        </row>
        <row r="231">
          <cell r="B231">
            <v>44973</v>
          </cell>
          <cell r="C231">
            <v>95</v>
          </cell>
          <cell r="D231">
            <v>347</v>
          </cell>
          <cell r="E231">
            <v>696</v>
          </cell>
          <cell r="F231">
            <v>0.2737752161383285</v>
          </cell>
          <cell r="G231">
            <v>0.13649425287356323</v>
          </cell>
        </row>
        <row r="232">
          <cell r="B232">
            <v>44974</v>
          </cell>
          <cell r="C232">
            <v>107</v>
          </cell>
          <cell r="D232">
            <v>347</v>
          </cell>
          <cell r="E232">
            <v>696</v>
          </cell>
          <cell r="F232">
            <v>0.30835734870317005</v>
          </cell>
          <cell r="G232">
            <v>0.15373563218390804</v>
          </cell>
        </row>
        <row r="233">
          <cell r="B233">
            <v>44975</v>
          </cell>
          <cell r="C233">
            <v>116</v>
          </cell>
          <cell r="D233">
            <v>347</v>
          </cell>
          <cell r="E233">
            <v>696</v>
          </cell>
          <cell r="F233">
            <v>0.33429394812680113</v>
          </cell>
          <cell r="G233">
            <v>0.16666666666666666</v>
          </cell>
        </row>
        <row r="234">
          <cell r="B234">
            <v>44976</v>
          </cell>
          <cell r="C234">
            <v>109</v>
          </cell>
          <cell r="D234">
            <v>347</v>
          </cell>
          <cell r="E234">
            <v>696</v>
          </cell>
          <cell r="F234">
            <v>0.31412103746397696</v>
          </cell>
          <cell r="G234">
            <v>0.15660919540229884</v>
          </cell>
        </row>
        <row r="235">
          <cell r="B235">
            <v>44977</v>
          </cell>
          <cell r="C235">
            <v>84</v>
          </cell>
          <cell r="D235">
            <v>384</v>
          </cell>
          <cell r="E235">
            <v>696</v>
          </cell>
          <cell r="F235">
            <v>0.21875</v>
          </cell>
          <cell r="G235">
            <v>0.1206896551724138</v>
          </cell>
        </row>
        <row r="236">
          <cell r="B236">
            <v>44978</v>
          </cell>
          <cell r="C236">
            <v>98</v>
          </cell>
          <cell r="D236">
            <v>384</v>
          </cell>
          <cell r="E236">
            <v>696</v>
          </cell>
          <cell r="F236">
            <v>0.25520833333333331</v>
          </cell>
          <cell r="G236">
            <v>0.14080459770114942</v>
          </cell>
        </row>
        <row r="237">
          <cell r="B237">
            <v>44979</v>
          </cell>
          <cell r="C237">
            <v>115</v>
          </cell>
          <cell r="D237">
            <v>384</v>
          </cell>
          <cell r="E237">
            <v>696</v>
          </cell>
          <cell r="F237">
            <v>0.29947916666666669</v>
          </cell>
          <cell r="G237">
            <v>0.16522988505747127</v>
          </cell>
        </row>
        <row r="238">
          <cell r="B238">
            <v>44980</v>
          </cell>
          <cell r="C238">
            <v>95</v>
          </cell>
          <cell r="D238">
            <v>384</v>
          </cell>
          <cell r="E238">
            <v>696</v>
          </cell>
          <cell r="F238">
            <v>0.24739583333333334</v>
          </cell>
          <cell r="G238">
            <v>0.13649425287356323</v>
          </cell>
        </row>
        <row r="239">
          <cell r="B239">
            <v>44981</v>
          </cell>
          <cell r="C239">
            <v>106</v>
          </cell>
          <cell r="D239">
            <v>384</v>
          </cell>
          <cell r="E239">
            <v>696</v>
          </cell>
          <cell r="F239">
            <v>0.27604166666666669</v>
          </cell>
          <cell r="G239">
            <v>0.15229885057471265</v>
          </cell>
        </row>
        <row r="240">
          <cell r="B240">
            <v>44982</v>
          </cell>
          <cell r="C240">
            <v>118</v>
          </cell>
          <cell r="D240">
            <v>384</v>
          </cell>
          <cell r="E240">
            <v>696</v>
          </cell>
          <cell r="F240">
            <v>0.30729166666666669</v>
          </cell>
          <cell r="G240">
            <v>0.16954022988505746</v>
          </cell>
        </row>
        <row r="241">
          <cell r="B241">
            <v>44983</v>
          </cell>
          <cell r="C241">
            <v>127</v>
          </cell>
          <cell r="D241">
            <v>384</v>
          </cell>
          <cell r="E241">
            <v>696</v>
          </cell>
          <cell r="F241">
            <v>0.33072916666666669</v>
          </cell>
          <cell r="G241">
            <v>0.18247126436781611</v>
          </cell>
        </row>
        <row r="242">
          <cell r="B242">
            <v>44984</v>
          </cell>
          <cell r="C242">
            <v>104</v>
          </cell>
          <cell r="D242">
            <v>611</v>
          </cell>
          <cell r="E242">
            <v>696</v>
          </cell>
          <cell r="F242">
            <v>0.1702127659574468</v>
          </cell>
          <cell r="G242">
            <v>0.14942528735632185</v>
          </cell>
        </row>
        <row r="243">
          <cell r="B243">
            <v>44985</v>
          </cell>
          <cell r="C243">
            <v>131</v>
          </cell>
          <cell r="D243">
            <v>611</v>
          </cell>
          <cell r="E243">
            <v>696</v>
          </cell>
          <cell r="F243">
            <v>0.2144026186579378</v>
          </cell>
          <cell r="G243">
            <v>0.18821839080459771</v>
          </cell>
        </row>
        <row r="244">
          <cell r="B244">
            <v>44986</v>
          </cell>
          <cell r="C244">
            <v>130</v>
          </cell>
          <cell r="D244">
            <v>611</v>
          </cell>
          <cell r="E244">
            <v>1544</v>
          </cell>
          <cell r="F244">
            <v>0.21276595744680851</v>
          </cell>
          <cell r="G244">
            <v>8.4196891191709838E-2</v>
          </cell>
        </row>
        <row r="245">
          <cell r="B245">
            <v>44987</v>
          </cell>
          <cell r="C245">
            <v>138</v>
          </cell>
          <cell r="D245">
            <v>611</v>
          </cell>
          <cell r="E245">
            <v>1544</v>
          </cell>
          <cell r="F245">
            <v>0.22585924713584288</v>
          </cell>
          <cell r="G245">
            <v>8.937823834196891E-2</v>
          </cell>
        </row>
        <row r="246">
          <cell r="B246">
            <v>44988</v>
          </cell>
          <cell r="C246">
            <v>167</v>
          </cell>
          <cell r="D246">
            <v>611</v>
          </cell>
          <cell r="E246">
            <v>1544</v>
          </cell>
          <cell r="F246">
            <v>0.27332242225859249</v>
          </cell>
          <cell r="G246">
            <v>0.10816062176165803</v>
          </cell>
        </row>
        <row r="247">
          <cell r="B247">
            <v>44989</v>
          </cell>
          <cell r="C247">
            <v>170</v>
          </cell>
          <cell r="D247">
            <v>611</v>
          </cell>
          <cell r="E247">
            <v>1544</v>
          </cell>
          <cell r="F247">
            <v>0.27823240589198034</v>
          </cell>
          <cell r="G247">
            <v>0.11010362694300518</v>
          </cell>
        </row>
        <row r="248">
          <cell r="B248">
            <v>44990</v>
          </cell>
          <cell r="C248">
            <v>165</v>
          </cell>
          <cell r="D248">
            <v>611</v>
          </cell>
          <cell r="E248">
            <v>1544</v>
          </cell>
          <cell r="F248">
            <v>0.27004909983633391</v>
          </cell>
          <cell r="G248">
            <v>0.10686528497409327</v>
          </cell>
        </row>
        <row r="249">
          <cell r="B249">
            <v>44991</v>
          </cell>
          <cell r="C249">
            <v>149</v>
          </cell>
          <cell r="D249">
            <v>712</v>
          </cell>
          <cell r="E249">
            <v>1544</v>
          </cell>
          <cell r="F249">
            <v>0.20926966292134833</v>
          </cell>
          <cell r="G249">
            <v>9.6502590673575125E-2</v>
          </cell>
        </row>
        <row r="250">
          <cell r="B250">
            <v>44992</v>
          </cell>
          <cell r="C250">
            <v>151</v>
          </cell>
          <cell r="D250">
            <v>712</v>
          </cell>
          <cell r="E250">
            <v>1544</v>
          </cell>
          <cell r="F250">
            <v>0.21207865168539325</v>
          </cell>
          <cell r="G250">
            <v>9.7797927461139897E-2</v>
          </cell>
        </row>
        <row r="251">
          <cell r="B251">
            <v>44993</v>
          </cell>
          <cell r="C251">
            <v>173</v>
          </cell>
          <cell r="D251">
            <v>712</v>
          </cell>
          <cell r="E251">
            <v>1544</v>
          </cell>
          <cell r="F251">
            <v>0.24297752808988765</v>
          </cell>
          <cell r="G251">
            <v>0.11204663212435233</v>
          </cell>
        </row>
        <row r="252">
          <cell r="B252">
            <v>44994</v>
          </cell>
          <cell r="C252">
            <v>150</v>
          </cell>
          <cell r="D252">
            <v>712</v>
          </cell>
          <cell r="E252">
            <v>1544</v>
          </cell>
          <cell r="F252">
            <v>0.21067415730337077</v>
          </cell>
          <cell r="G252">
            <v>9.7150259067357511E-2</v>
          </cell>
        </row>
        <row r="253">
          <cell r="B253">
            <v>44995</v>
          </cell>
          <cell r="C253">
            <v>162</v>
          </cell>
          <cell r="D253">
            <v>712</v>
          </cell>
          <cell r="E253">
            <v>1544</v>
          </cell>
          <cell r="F253">
            <v>0.22752808988764045</v>
          </cell>
          <cell r="G253">
            <v>0.10492227979274611</v>
          </cell>
        </row>
        <row r="254">
          <cell r="B254">
            <v>44996</v>
          </cell>
          <cell r="C254">
            <v>175</v>
          </cell>
          <cell r="D254">
            <v>712</v>
          </cell>
          <cell r="E254">
            <v>1544</v>
          </cell>
          <cell r="F254">
            <v>0.24578651685393257</v>
          </cell>
          <cell r="G254">
            <v>0.1133419689119171</v>
          </cell>
        </row>
        <row r="255">
          <cell r="B255">
            <v>44997</v>
          </cell>
          <cell r="C255">
            <v>176</v>
          </cell>
          <cell r="D255">
            <v>712</v>
          </cell>
          <cell r="E255">
            <v>1544</v>
          </cell>
          <cell r="F255">
            <v>0.24719101123595505</v>
          </cell>
          <cell r="G255">
            <v>0.11398963730569948</v>
          </cell>
        </row>
        <row r="256">
          <cell r="B256">
            <v>44998</v>
          </cell>
          <cell r="C256">
            <v>180</v>
          </cell>
          <cell r="D256">
            <v>772</v>
          </cell>
          <cell r="E256">
            <v>1544</v>
          </cell>
          <cell r="F256">
            <v>0.23316062176165803</v>
          </cell>
          <cell r="G256">
            <v>0.11658031088082901</v>
          </cell>
        </row>
        <row r="257">
          <cell r="B257">
            <v>44999</v>
          </cell>
          <cell r="C257">
            <v>168</v>
          </cell>
          <cell r="D257">
            <v>772</v>
          </cell>
          <cell r="E257">
            <v>1544</v>
          </cell>
          <cell r="F257">
            <v>0.21761658031088082</v>
          </cell>
          <cell r="G257">
            <v>0.10880829015544041</v>
          </cell>
        </row>
        <row r="258">
          <cell r="B258">
            <v>45000</v>
          </cell>
          <cell r="C258">
            <v>185</v>
          </cell>
          <cell r="D258">
            <v>772</v>
          </cell>
          <cell r="E258">
            <v>1544</v>
          </cell>
          <cell r="F258">
            <v>0.23963730569948186</v>
          </cell>
          <cell r="G258">
            <v>0.11981865284974093</v>
          </cell>
        </row>
        <row r="259">
          <cell r="B259">
            <v>45001</v>
          </cell>
          <cell r="C259">
            <v>181</v>
          </cell>
          <cell r="D259">
            <v>772</v>
          </cell>
          <cell r="E259">
            <v>1544</v>
          </cell>
          <cell r="F259">
            <v>0.2344559585492228</v>
          </cell>
          <cell r="G259">
            <v>0.1172279792746114</v>
          </cell>
        </row>
        <row r="260">
          <cell r="B260">
            <v>45002</v>
          </cell>
          <cell r="C260">
            <v>172</v>
          </cell>
          <cell r="D260">
            <v>772</v>
          </cell>
          <cell r="E260">
            <v>1544</v>
          </cell>
          <cell r="F260">
            <v>0.22279792746113988</v>
          </cell>
          <cell r="G260">
            <v>0.11139896373056994</v>
          </cell>
        </row>
        <row r="261">
          <cell r="B261">
            <v>45003</v>
          </cell>
          <cell r="C261">
            <v>187</v>
          </cell>
          <cell r="D261">
            <v>772</v>
          </cell>
          <cell r="E261">
            <v>1544</v>
          </cell>
          <cell r="F261">
            <v>0.2422279792746114</v>
          </cell>
          <cell r="G261">
            <v>0.1211139896373057</v>
          </cell>
        </row>
        <row r="262">
          <cell r="B262">
            <v>45004</v>
          </cell>
          <cell r="C262">
            <v>218</v>
          </cell>
          <cell r="D262">
            <v>772</v>
          </cell>
          <cell r="E262">
            <v>1544</v>
          </cell>
          <cell r="F262">
            <v>0.28238341968911918</v>
          </cell>
          <cell r="G262">
            <v>0.14119170984455959</v>
          </cell>
        </row>
        <row r="263">
          <cell r="B263">
            <v>45005</v>
          </cell>
          <cell r="C263">
            <v>184</v>
          </cell>
          <cell r="D263">
            <v>656</v>
          </cell>
          <cell r="E263">
            <v>1544</v>
          </cell>
          <cell r="F263">
            <v>0.28048780487804881</v>
          </cell>
          <cell r="G263">
            <v>0.11917098445595854</v>
          </cell>
        </row>
        <row r="264">
          <cell r="B264">
            <v>45006</v>
          </cell>
          <cell r="C264">
            <v>194</v>
          </cell>
          <cell r="D264">
            <v>656</v>
          </cell>
          <cell r="E264">
            <v>1544</v>
          </cell>
          <cell r="F264">
            <v>0.29573170731707316</v>
          </cell>
          <cell r="G264">
            <v>0.12564766839378239</v>
          </cell>
        </row>
        <row r="265">
          <cell r="B265">
            <v>45007</v>
          </cell>
          <cell r="C265">
            <v>131</v>
          </cell>
          <cell r="D265">
            <v>656</v>
          </cell>
          <cell r="E265">
            <v>1544</v>
          </cell>
          <cell r="F265">
            <v>0.19969512195121952</v>
          </cell>
          <cell r="G265">
            <v>8.4844559585492224E-2</v>
          </cell>
        </row>
        <row r="266">
          <cell r="B266">
            <v>45008</v>
          </cell>
          <cell r="C266">
            <v>176</v>
          </cell>
          <cell r="D266">
            <v>656</v>
          </cell>
          <cell r="E266">
            <v>1544</v>
          </cell>
          <cell r="F266">
            <v>0.26829268292682928</v>
          </cell>
          <cell r="G266">
            <v>0.11398963730569948</v>
          </cell>
        </row>
        <row r="267">
          <cell r="B267">
            <v>45009</v>
          </cell>
          <cell r="C267">
            <v>136</v>
          </cell>
          <cell r="D267">
            <v>656</v>
          </cell>
          <cell r="E267">
            <v>1544</v>
          </cell>
          <cell r="F267">
            <v>0.2073170731707317</v>
          </cell>
          <cell r="G267">
            <v>8.8082901554404139E-2</v>
          </cell>
        </row>
        <row r="268">
          <cell r="B268">
            <v>45010</v>
          </cell>
          <cell r="C268">
            <v>153</v>
          </cell>
          <cell r="D268">
            <v>656</v>
          </cell>
          <cell r="E268">
            <v>1544</v>
          </cell>
          <cell r="F268">
            <v>0.23323170731707318</v>
          </cell>
          <cell r="G268">
            <v>9.9093264248704668E-2</v>
          </cell>
        </row>
        <row r="269">
          <cell r="B269">
            <v>45011</v>
          </cell>
          <cell r="C269">
            <v>159</v>
          </cell>
          <cell r="D269">
            <v>656</v>
          </cell>
          <cell r="E269">
            <v>1544</v>
          </cell>
          <cell r="F269">
            <v>0.2423780487804878</v>
          </cell>
          <cell r="G269">
            <v>0.10297927461139897</v>
          </cell>
        </row>
        <row r="270">
          <cell r="B270">
            <v>45012</v>
          </cell>
          <cell r="C270">
            <v>143</v>
          </cell>
          <cell r="D270">
            <v>661</v>
          </cell>
          <cell r="E270">
            <v>1544</v>
          </cell>
          <cell r="F270">
            <v>0.21633888048411498</v>
          </cell>
          <cell r="G270">
            <v>9.2616580310880825E-2</v>
          </cell>
        </row>
        <row r="271">
          <cell r="B271">
            <v>45013</v>
          </cell>
          <cell r="C271">
            <v>156</v>
          </cell>
          <cell r="D271">
            <v>661</v>
          </cell>
          <cell r="E271">
            <v>1544</v>
          </cell>
          <cell r="F271">
            <v>0.23600605143721634</v>
          </cell>
          <cell r="G271">
            <v>0.10103626943005181</v>
          </cell>
        </row>
        <row r="272">
          <cell r="B272">
            <v>45014</v>
          </cell>
          <cell r="C272">
            <v>151</v>
          </cell>
          <cell r="D272">
            <v>661</v>
          </cell>
          <cell r="E272">
            <v>1544</v>
          </cell>
          <cell r="F272">
            <v>0.22844175491679275</v>
          </cell>
          <cell r="G272">
            <v>9.7797927461139897E-2</v>
          </cell>
        </row>
        <row r="273">
          <cell r="B273">
            <v>45015</v>
          </cell>
          <cell r="C273">
            <v>148</v>
          </cell>
          <cell r="D273">
            <v>661</v>
          </cell>
          <cell r="E273">
            <v>1544</v>
          </cell>
          <cell r="F273">
            <v>0.22390317700453857</v>
          </cell>
          <cell r="G273">
            <v>9.585492227979274E-2</v>
          </cell>
        </row>
        <row r="274">
          <cell r="B274">
            <v>45016</v>
          </cell>
          <cell r="C274">
            <v>184</v>
          </cell>
          <cell r="D274">
            <v>661</v>
          </cell>
          <cell r="E274">
            <v>1544</v>
          </cell>
          <cell r="F274">
            <v>0.2783661119515885</v>
          </cell>
          <cell r="G274">
            <v>0.11917098445595854</v>
          </cell>
        </row>
        <row r="275">
          <cell r="B275">
            <v>45017</v>
          </cell>
          <cell r="C275">
            <v>204</v>
          </cell>
          <cell r="D275">
            <v>661</v>
          </cell>
          <cell r="E275">
            <v>1027</v>
          </cell>
          <cell r="F275">
            <v>0.30862329803328292</v>
          </cell>
          <cell r="G275">
            <v>0.19863680623174293</v>
          </cell>
        </row>
        <row r="276">
          <cell r="B276">
            <v>45018</v>
          </cell>
          <cell r="C276">
            <v>215</v>
          </cell>
          <cell r="D276">
            <v>661</v>
          </cell>
          <cell r="E276">
            <v>1027</v>
          </cell>
          <cell r="F276">
            <v>0.32526475037821484</v>
          </cell>
          <cell r="G276">
            <v>0.20934761441090555</v>
          </cell>
        </row>
        <row r="277">
          <cell r="B277">
            <v>45019</v>
          </cell>
          <cell r="C277">
            <v>198</v>
          </cell>
          <cell r="D277">
            <v>699</v>
          </cell>
          <cell r="E277">
            <v>1027</v>
          </cell>
          <cell r="F277">
            <v>0.2832618025751073</v>
          </cell>
          <cell r="G277">
            <v>0.19279454722492698</v>
          </cell>
        </row>
        <row r="278">
          <cell r="B278">
            <v>45020</v>
          </cell>
          <cell r="C278">
            <v>199</v>
          </cell>
          <cell r="D278">
            <v>699</v>
          </cell>
          <cell r="E278">
            <v>1027</v>
          </cell>
          <cell r="F278">
            <v>0.28469241773962806</v>
          </cell>
          <cell r="G278">
            <v>0.19376825705939629</v>
          </cell>
        </row>
        <row r="279">
          <cell r="B279">
            <v>45021</v>
          </cell>
          <cell r="C279">
            <v>188</v>
          </cell>
          <cell r="D279">
            <v>699</v>
          </cell>
          <cell r="E279">
            <v>1027</v>
          </cell>
          <cell r="F279">
            <v>0.26895565092989987</v>
          </cell>
          <cell r="G279">
            <v>0.1830574488802337</v>
          </cell>
        </row>
        <row r="280">
          <cell r="B280">
            <v>45022</v>
          </cell>
          <cell r="C280">
            <v>197</v>
          </cell>
          <cell r="D280">
            <v>699</v>
          </cell>
          <cell r="E280">
            <v>1027</v>
          </cell>
          <cell r="F280">
            <v>0.28183118741058655</v>
          </cell>
          <cell r="G280">
            <v>0.19182083739045763</v>
          </cell>
        </row>
        <row r="281">
          <cell r="B281">
            <v>45023</v>
          </cell>
          <cell r="C281">
            <v>192</v>
          </cell>
          <cell r="D281">
            <v>699</v>
          </cell>
          <cell r="E281">
            <v>1027</v>
          </cell>
          <cell r="F281">
            <v>0.27467811158798283</v>
          </cell>
          <cell r="G281">
            <v>0.186952288218111</v>
          </cell>
        </row>
        <row r="282">
          <cell r="B282">
            <v>45024</v>
          </cell>
          <cell r="C282">
            <v>200</v>
          </cell>
          <cell r="D282">
            <v>699</v>
          </cell>
          <cell r="E282">
            <v>1027</v>
          </cell>
          <cell r="F282">
            <v>0.28612303290414881</v>
          </cell>
          <cell r="G282">
            <v>0.19474196689386564</v>
          </cell>
        </row>
        <row r="283">
          <cell r="B283">
            <v>45025</v>
          </cell>
          <cell r="C283">
            <v>192</v>
          </cell>
          <cell r="D283">
            <v>699</v>
          </cell>
          <cell r="E283">
            <v>1027</v>
          </cell>
          <cell r="F283">
            <v>0.27467811158798283</v>
          </cell>
          <cell r="G283">
            <v>0.186952288218111</v>
          </cell>
        </row>
        <row r="284">
          <cell r="B284">
            <v>45026</v>
          </cell>
          <cell r="C284">
            <v>172</v>
          </cell>
          <cell r="D284">
            <v>614</v>
          </cell>
          <cell r="E284">
            <v>1027</v>
          </cell>
          <cell r="F284">
            <v>0.28013029315960913</v>
          </cell>
          <cell r="G284">
            <v>0.16747809152872445</v>
          </cell>
        </row>
        <row r="285">
          <cell r="B285">
            <v>45027</v>
          </cell>
          <cell r="C285">
            <v>160</v>
          </cell>
          <cell r="D285">
            <v>614</v>
          </cell>
          <cell r="E285">
            <v>1027</v>
          </cell>
          <cell r="F285">
            <v>0.26058631921824105</v>
          </cell>
          <cell r="G285">
            <v>0.15579357351509251</v>
          </cell>
        </row>
        <row r="286">
          <cell r="B286">
            <v>45028</v>
          </cell>
          <cell r="C286">
            <v>168</v>
          </cell>
          <cell r="D286">
            <v>614</v>
          </cell>
          <cell r="E286">
            <v>1027</v>
          </cell>
          <cell r="F286">
            <v>0.2736156351791531</v>
          </cell>
          <cell r="G286">
            <v>0.16358325219084713</v>
          </cell>
        </row>
        <row r="287">
          <cell r="B287">
            <v>45029</v>
          </cell>
          <cell r="C287">
            <v>171</v>
          </cell>
          <cell r="D287">
            <v>614</v>
          </cell>
          <cell r="E287">
            <v>1027</v>
          </cell>
          <cell r="F287">
            <v>0.27850162866449513</v>
          </cell>
          <cell r="G287">
            <v>0.1665043816942551</v>
          </cell>
        </row>
        <row r="288">
          <cell r="B288">
            <v>45030</v>
          </cell>
          <cell r="C288">
            <v>154</v>
          </cell>
          <cell r="D288">
            <v>614</v>
          </cell>
          <cell r="E288">
            <v>1027</v>
          </cell>
          <cell r="F288">
            <v>0.250814332247557</v>
          </cell>
          <cell r="G288">
            <v>0.14995131450827653</v>
          </cell>
        </row>
        <row r="289">
          <cell r="B289">
            <v>45031</v>
          </cell>
          <cell r="C289">
            <v>146</v>
          </cell>
          <cell r="D289">
            <v>614</v>
          </cell>
          <cell r="E289">
            <v>1027</v>
          </cell>
          <cell r="F289">
            <v>0.23778501628664495</v>
          </cell>
          <cell r="G289">
            <v>0.14216163583252192</v>
          </cell>
        </row>
        <row r="290">
          <cell r="B290">
            <v>45032</v>
          </cell>
          <cell r="C290">
            <v>166</v>
          </cell>
          <cell r="D290">
            <v>614</v>
          </cell>
          <cell r="E290">
            <v>1027</v>
          </cell>
          <cell r="F290">
            <v>0.27035830618892509</v>
          </cell>
          <cell r="G290">
            <v>0.16163583252190847</v>
          </cell>
        </row>
        <row r="291">
          <cell r="B291">
            <v>45033</v>
          </cell>
          <cell r="C291">
            <v>134</v>
          </cell>
          <cell r="D291">
            <v>545</v>
          </cell>
          <cell r="E291">
            <v>1027</v>
          </cell>
          <cell r="F291">
            <v>0.24587155963302754</v>
          </cell>
          <cell r="G291">
            <v>0.13047711781888996</v>
          </cell>
        </row>
        <row r="292">
          <cell r="B292">
            <v>45034</v>
          </cell>
          <cell r="C292">
            <v>149</v>
          </cell>
          <cell r="D292">
            <v>545</v>
          </cell>
          <cell r="E292">
            <v>1027</v>
          </cell>
          <cell r="F292">
            <v>0.27339449541284405</v>
          </cell>
          <cell r="G292">
            <v>0.1450827653359299</v>
          </cell>
        </row>
        <row r="293">
          <cell r="B293">
            <v>45035</v>
          </cell>
          <cell r="C293">
            <v>132</v>
          </cell>
          <cell r="D293">
            <v>545</v>
          </cell>
          <cell r="E293">
            <v>1027</v>
          </cell>
          <cell r="F293">
            <v>0.24220183486238533</v>
          </cell>
          <cell r="G293">
            <v>0.12852969814995133</v>
          </cell>
        </row>
        <row r="294">
          <cell r="B294">
            <v>45036</v>
          </cell>
          <cell r="C294">
            <v>131</v>
          </cell>
          <cell r="D294">
            <v>545</v>
          </cell>
          <cell r="E294">
            <v>1027</v>
          </cell>
          <cell r="F294">
            <v>0.24036697247706423</v>
          </cell>
          <cell r="G294">
            <v>0.12755598831548198</v>
          </cell>
        </row>
        <row r="295">
          <cell r="B295">
            <v>45037</v>
          </cell>
          <cell r="C295">
            <v>104</v>
          </cell>
          <cell r="D295">
            <v>545</v>
          </cell>
          <cell r="E295">
            <v>1027</v>
          </cell>
          <cell r="F295">
            <v>0.19082568807339451</v>
          </cell>
          <cell r="G295">
            <v>0.10126582278481013</v>
          </cell>
        </row>
        <row r="296">
          <cell r="B296">
            <v>45038</v>
          </cell>
          <cell r="C296">
            <v>105</v>
          </cell>
          <cell r="D296">
            <v>545</v>
          </cell>
          <cell r="E296">
            <v>1027</v>
          </cell>
          <cell r="F296">
            <v>0.19266055045871561</v>
          </cell>
          <cell r="G296">
            <v>0.10223953261927946</v>
          </cell>
        </row>
        <row r="297">
          <cell r="B297">
            <v>45039</v>
          </cell>
          <cell r="C297">
            <v>105</v>
          </cell>
          <cell r="D297">
            <v>545</v>
          </cell>
          <cell r="E297">
            <v>1027</v>
          </cell>
          <cell r="F297">
            <v>0.19266055045871561</v>
          </cell>
          <cell r="G297">
            <v>0.10223953261927946</v>
          </cell>
        </row>
        <row r="298">
          <cell r="B298">
            <v>45040</v>
          </cell>
          <cell r="C298">
            <v>90</v>
          </cell>
          <cell r="D298">
            <v>422</v>
          </cell>
          <cell r="E298">
            <v>1027</v>
          </cell>
          <cell r="F298">
            <v>0.2132701421800948</v>
          </cell>
          <cell r="G298">
            <v>8.7633885102239531E-2</v>
          </cell>
        </row>
        <row r="299">
          <cell r="B299">
            <v>45041</v>
          </cell>
          <cell r="C299">
            <v>101</v>
          </cell>
          <cell r="D299">
            <v>422</v>
          </cell>
          <cell r="E299">
            <v>1027</v>
          </cell>
          <cell r="F299">
            <v>0.23933649289099526</v>
          </cell>
          <cell r="G299">
            <v>9.8344693281402148E-2</v>
          </cell>
        </row>
        <row r="300">
          <cell r="B300">
            <v>45042</v>
          </cell>
          <cell r="C300">
            <v>92</v>
          </cell>
          <cell r="D300">
            <v>422</v>
          </cell>
          <cell r="E300">
            <v>1027</v>
          </cell>
          <cell r="F300">
            <v>0.21800947867298578</v>
          </cell>
          <cell r="G300">
            <v>8.9581304771178191E-2</v>
          </cell>
        </row>
        <row r="301">
          <cell r="B301">
            <v>45043</v>
          </cell>
          <cell r="C301">
            <v>68</v>
          </cell>
          <cell r="D301">
            <v>422</v>
          </cell>
          <cell r="E301">
            <v>1027</v>
          </cell>
          <cell r="F301">
            <v>0.16113744075829384</v>
          </cell>
          <cell r="G301">
            <v>6.621226874391431E-2</v>
          </cell>
        </row>
        <row r="302">
          <cell r="B302">
            <v>45044</v>
          </cell>
          <cell r="C302">
            <v>75</v>
          </cell>
          <cell r="D302">
            <v>422</v>
          </cell>
          <cell r="E302">
            <v>1027</v>
          </cell>
          <cell r="F302">
            <v>0.17772511848341233</v>
          </cell>
          <cell r="G302">
            <v>7.3028237585199607E-2</v>
          </cell>
        </row>
        <row r="303">
          <cell r="B303">
            <v>45045</v>
          </cell>
          <cell r="C303">
            <v>73</v>
          </cell>
          <cell r="D303">
            <v>422</v>
          </cell>
          <cell r="E303">
            <v>1027</v>
          </cell>
          <cell r="F303">
            <v>0.17298578199052134</v>
          </cell>
          <cell r="G303">
            <v>7.108081791626096E-2</v>
          </cell>
        </row>
        <row r="304">
          <cell r="B304">
            <v>45046</v>
          </cell>
          <cell r="C304">
            <v>71</v>
          </cell>
          <cell r="D304">
            <v>422</v>
          </cell>
          <cell r="E304">
            <v>1027</v>
          </cell>
          <cell r="F304">
            <v>0.16824644549763032</v>
          </cell>
          <cell r="G304">
            <v>6.91333982473223E-2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зультат запроса"/>
    </sheetNames>
    <sheetDataSet>
      <sheetData sheetId="0">
        <row r="1">
          <cell r="B1" t="str">
            <v>Среднее количество приобретаемых кристаллов</v>
          </cell>
          <cell r="C1" t="str">
            <v>Выручка</v>
          </cell>
        </row>
        <row r="2">
          <cell r="A2" t="str">
            <v>07.2022</v>
          </cell>
          <cell r="B2">
            <v>29</v>
          </cell>
          <cell r="C2">
            <v>4930</v>
          </cell>
        </row>
        <row r="3">
          <cell r="A3" t="str">
            <v>08.2022</v>
          </cell>
          <cell r="B3">
            <v>31.5625</v>
          </cell>
          <cell r="C3">
            <v>17170</v>
          </cell>
        </row>
        <row r="4">
          <cell r="A4" t="str">
            <v>09.2022</v>
          </cell>
          <cell r="B4">
            <v>32.173913043478258</v>
          </cell>
          <cell r="C4">
            <v>12580</v>
          </cell>
        </row>
        <row r="5">
          <cell r="A5" t="str">
            <v>10.2022</v>
          </cell>
          <cell r="B5">
            <v>28</v>
          </cell>
          <cell r="C5">
            <v>14280</v>
          </cell>
        </row>
        <row r="6">
          <cell r="A6" t="str">
            <v>11.2022</v>
          </cell>
          <cell r="B6">
            <v>29.6</v>
          </cell>
          <cell r="C6">
            <v>12580</v>
          </cell>
        </row>
        <row r="7">
          <cell r="A7" t="str">
            <v>12.2022</v>
          </cell>
          <cell r="B7">
            <v>30</v>
          </cell>
          <cell r="C7">
            <v>11730</v>
          </cell>
        </row>
        <row r="8">
          <cell r="A8" t="str">
            <v>01.2023</v>
          </cell>
          <cell r="B8">
            <v>19.117647058823529</v>
          </cell>
          <cell r="C8">
            <v>14300</v>
          </cell>
        </row>
        <row r="9">
          <cell r="A9" t="str">
            <v>02.2023</v>
          </cell>
          <cell r="B9">
            <v>17.352941176470587</v>
          </cell>
          <cell r="C9">
            <v>12980</v>
          </cell>
        </row>
        <row r="10">
          <cell r="A10" t="str">
            <v>03.2023</v>
          </cell>
          <cell r="B10">
            <v>22.051282051282051</v>
          </cell>
          <cell r="C10">
            <v>37840</v>
          </cell>
        </row>
        <row r="11">
          <cell r="A11" t="str">
            <v>04.2023</v>
          </cell>
          <cell r="B11">
            <v>23.076923076923077</v>
          </cell>
          <cell r="C11">
            <v>13200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зультат запроса"/>
    </sheetNames>
    <sheetDataSet>
      <sheetData sheetId="0">
        <row r="1">
          <cell r="D1" t="str">
            <v>Средняя выручка на одного человека за все время</v>
          </cell>
          <cell r="F1" t="str">
            <v>Средняя выручка на одного человека за месяц</v>
          </cell>
        </row>
        <row r="2">
          <cell r="A2" t="str">
            <v>07.2022</v>
          </cell>
          <cell r="D2">
            <v>1185.4647887323943</v>
          </cell>
          <cell r="F2">
            <v>118.15263675073697</v>
          </cell>
        </row>
        <row r="3">
          <cell r="A3" t="str">
            <v>08.2022</v>
          </cell>
          <cell r="D3">
            <v>855.34210526315792</v>
          </cell>
          <cell r="F3">
            <v>95.038011695906434</v>
          </cell>
        </row>
        <row r="4">
          <cell r="A4" t="str">
            <v>09.2022</v>
          </cell>
          <cell r="D4">
            <v>1052.5853658536585</v>
          </cell>
          <cell r="F4">
            <v>132.12368609041738</v>
          </cell>
        </row>
        <row r="5">
          <cell r="A5" t="str">
            <v>10.2022</v>
          </cell>
          <cell r="D5">
            <v>929.24137931034488</v>
          </cell>
          <cell r="F5">
            <v>133.3839300445471</v>
          </cell>
        </row>
        <row r="6">
          <cell r="A6" t="str">
            <v>11.2022</v>
          </cell>
          <cell r="D6">
            <v>1048.2987012987012</v>
          </cell>
          <cell r="F6">
            <v>176.6795563986575</v>
          </cell>
        </row>
        <row r="7">
          <cell r="A7" t="str">
            <v>12.2022</v>
          </cell>
          <cell r="D7">
            <v>992.25301204819277</v>
          </cell>
          <cell r="F7">
            <v>201.13236730706609</v>
          </cell>
        </row>
        <row r="8">
          <cell r="A8" t="str">
            <v>01.2023</v>
          </cell>
          <cell r="D8">
            <v>1021.2598425196851</v>
          </cell>
          <cell r="F8">
            <v>261.86149808197052</v>
          </cell>
        </row>
        <row r="9">
          <cell r="A9" t="str">
            <v>02.2023</v>
          </cell>
          <cell r="D9">
            <v>1155.2177419354839</v>
          </cell>
          <cell r="F9">
            <v>402.98293323330836</v>
          </cell>
        </row>
        <row r="10">
          <cell r="A10" t="str">
            <v>03.2023</v>
          </cell>
          <cell r="D10">
            <v>1087.4320388349515</v>
          </cell>
          <cell r="F10">
            <v>562.4648476732508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зультат запроса"/>
    </sheetNames>
    <sheetDataSet>
      <sheetData sheetId="0">
        <row r="1">
          <cell r="B1" t="str">
            <v>LMAU</v>
          </cell>
        </row>
        <row r="2">
          <cell r="A2" t="str">
            <v>07.2022</v>
          </cell>
          <cell r="B2">
            <v>77</v>
          </cell>
        </row>
        <row r="3">
          <cell r="A3" t="str">
            <v>08.2022</v>
          </cell>
          <cell r="B3">
            <v>148</v>
          </cell>
        </row>
        <row r="4">
          <cell r="A4" t="str">
            <v>09.2022</v>
          </cell>
          <cell r="B4">
            <v>142</v>
          </cell>
        </row>
        <row r="5">
          <cell r="A5" t="str">
            <v>10.2022</v>
          </cell>
          <cell r="B5">
            <v>133</v>
          </cell>
        </row>
        <row r="6">
          <cell r="A6" t="str">
            <v>11.2022</v>
          </cell>
          <cell r="B6">
            <v>158</v>
          </cell>
        </row>
        <row r="7">
          <cell r="A7" t="str">
            <v>12.2022</v>
          </cell>
          <cell r="B7">
            <v>154</v>
          </cell>
        </row>
        <row r="8">
          <cell r="A8" t="str">
            <v>01.2023</v>
          </cell>
          <cell r="B8">
            <v>213</v>
          </cell>
        </row>
        <row r="9">
          <cell r="A9" t="str">
            <v>02.2023</v>
          </cell>
          <cell r="B9">
            <v>250</v>
          </cell>
        </row>
        <row r="10">
          <cell r="A10" t="str">
            <v>03.2023</v>
          </cell>
          <cell r="B10">
            <v>532</v>
          </cell>
        </row>
        <row r="11">
          <cell r="A11" t="str">
            <v>04.2023</v>
          </cell>
          <cell r="B11">
            <v>341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зультат запроса"/>
    </sheetNames>
    <sheetDataSet>
      <sheetData sheetId="0">
        <row r="1">
          <cell r="B1" t="str">
            <v>LMAU</v>
          </cell>
        </row>
        <row r="2">
          <cell r="A2" t="str">
            <v>07.2022</v>
          </cell>
          <cell r="B2">
            <v>19</v>
          </cell>
        </row>
        <row r="3">
          <cell r="A3" t="str">
            <v>08.2022</v>
          </cell>
          <cell r="B3">
            <v>32</v>
          </cell>
        </row>
        <row r="4">
          <cell r="A4" t="str">
            <v>09.2022</v>
          </cell>
          <cell r="B4">
            <v>29</v>
          </cell>
        </row>
        <row r="5">
          <cell r="A5" t="str">
            <v>10.2022</v>
          </cell>
          <cell r="B5">
            <v>35</v>
          </cell>
        </row>
        <row r="6">
          <cell r="A6" t="str">
            <v>11.2022</v>
          </cell>
          <cell r="B6">
            <v>38</v>
          </cell>
        </row>
        <row r="7">
          <cell r="A7" t="str">
            <v>12.2022</v>
          </cell>
          <cell r="B7">
            <v>38</v>
          </cell>
        </row>
        <row r="8">
          <cell r="A8" t="str">
            <v>01.2023</v>
          </cell>
          <cell r="B8">
            <v>64</v>
          </cell>
        </row>
        <row r="9">
          <cell r="A9" t="str">
            <v>02.2023</v>
          </cell>
          <cell r="B9">
            <v>90</v>
          </cell>
        </row>
        <row r="10">
          <cell r="A10" t="str">
            <v>03.2023</v>
          </cell>
          <cell r="B10">
            <v>184</v>
          </cell>
        </row>
        <row r="11">
          <cell r="A11" t="str">
            <v>04.2023</v>
          </cell>
          <cell r="B11">
            <v>130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зультат запроса"/>
    </sheetNames>
    <sheetDataSet>
      <sheetData sheetId="0">
        <row r="1">
          <cell r="B1" t="str">
            <v>LMAU</v>
          </cell>
        </row>
        <row r="2">
          <cell r="A2" t="str">
            <v>07.2022</v>
          </cell>
          <cell r="B2">
            <v>5</v>
          </cell>
        </row>
        <row r="3">
          <cell r="A3" t="str">
            <v>08.2022</v>
          </cell>
          <cell r="B3">
            <v>10</v>
          </cell>
        </row>
        <row r="4">
          <cell r="A4" t="str">
            <v>09.2022</v>
          </cell>
          <cell r="B4">
            <v>10</v>
          </cell>
        </row>
        <row r="5">
          <cell r="A5" t="str">
            <v>10.2022</v>
          </cell>
          <cell r="B5">
            <v>12</v>
          </cell>
        </row>
        <row r="6">
          <cell r="A6" t="str">
            <v>11.2022</v>
          </cell>
          <cell r="B6">
            <v>17</v>
          </cell>
        </row>
        <row r="7">
          <cell r="A7" t="str">
            <v>12.2022</v>
          </cell>
          <cell r="B7">
            <v>16</v>
          </cell>
        </row>
        <row r="8">
          <cell r="A8" t="str">
            <v>01.2023</v>
          </cell>
          <cell r="B8">
            <v>22</v>
          </cell>
        </row>
        <row r="9">
          <cell r="A9" t="str">
            <v>02.2023</v>
          </cell>
          <cell r="B9">
            <v>29</v>
          </cell>
        </row>
        <row r="10">
          <cell r="A10" t="str">
            <v>03.2023</v>
          </cell>
          <cell r="B10">
            <v>61</v>
          </cell>
        </row>
        <row r="11">
          <cell r="A11" t="str">
            <v>04.2023</v>
          </cell>
          <cell r="B11">
            <v>42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зультат запроса"/>
    </sheetNames>
    <sheetDataSet>
      <sheetData sheetId="0">
        <row r="1">
          <cell r="B1" t="str">
            <v>LMAU</v>
          </cell>
        </row>
        <row r="2">
          <cell r="A2" t="str">
            <v>07.2022</v>
          </cell>
          <cell r="B2">
            <v>91</v>
          </cell>
        </row>
        <row r="3">
          <cell r="A3" t="str">
            <v>08.2022</v>
          </cell>
          <cell r="B3">
            <v>170</v>
          </cell>
        </row>
        <row r="4">
          <cell r="A4" t="str">
            <v>09.2022</v>
          </cell>
          <cell r="B4">
            <v>161</v>
          </cell>
        </row>
        <row r="5">
          <cell r="A5" t="str">
            <v>10.2022</v>
          </cell>
          <cell r="B5">
            <v>156</v>
          </cell>
        </row>
        <row r="6">
          <cell r="A6" t="str">
            <v>11.2022</v>
          </cell>
          <cell r="B6">
            <v>179</v>
          </cell>
        </row>
        <row r="7">
          <cell r="A7" t="str">
            <v>12.2022</v>
          </cell>
          <cell r="B7">
            <v>176</v>
          </cell>
        </row>
        <row r="8">
          <cell r="A8" t="str">
            <v>01.2023</v>
          </cell>
          <cell r="B8">
            <v>255</v>
          </cell>
        </row>
        <row r="9">
          <cell r="A9" t="str">
            <v>02.2023</v>
          </cell>
          <cell r="B9">
            <v>311</v>
          </cell>
        </row>
        <row r="10">
          <cell r="A10" t="str">
            <v>03.2023</v>
          </cell>
          <cell r="B10">
            <v>655</v>
          </cell>
        </row>
        <row r="11">
          <cell r="A11" t="str">
            <v>04.2023</v>
          </cell>
          <cell r="B11">
            <v>429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5.%20&#1040;&#1085;&#1072;&#1083;&#1080;&#1079;%20&#1076;&#1080;&#1085;&#1072;&#1084;&#1080;&#1082;&#1080;%20&#1074;&#1099;&#1088;&#1091;&#1095;&#1082;&#1080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ra" refreshedDate="46004.84058611111" createdVersion="7" refreshedVersion="7" minRefreshableVersion="3" recordCount="50" xr:uid="{DA6D2C85-426A-46AE-BF3F-F69E80B37490}">
  <cacheSource type="worksheet">
    <worksheetSource ref="A1:C51" sheet="Результат запроса" r:id="rId2"/>
  </cacheSource>
  <cacheFields count="4">
    <cacheField name="month" numFmtId="22">
      <sharedItems containsSemiMixedTypes="0" containsNonDate="0" containsDate="1" containsString="0" minDate="2022-07-01T00:00:00" maxDate="2023-04-02T00:00:00" count="10"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</sharedItems>
      <fieldGroup par="3" base="0">
        <rangePr groupBy="months" startDate="2022-07-01T00:00:00" endDate="2023-04-02T00:00:00"/>
        <groupItems count="14">
          <s v="&lt;01.07.2022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4.2023"/>
        </groupItems>
      </fieldGroup>
    </cacheField>
    <cacheField name="type" numFmtId="0">
      <sharedItems count="5">
        <s v="Ammo"/>
        <s v="Currency"/>
        <s v="Materials"/>
        <s v="Transport"/>
        <s v="Weapon"/>
      </sharedItems>
    </cacheField>
    <cacheField name="revenue" numFmtId="0">
      <sharedItems containsSemiMixedTypes="0" containsString="0" containsNumber="1" containsInteger="1" minValue="599" maxValue="106440"/>
    </cacheField>
    <cacheField name="Годы" numFmtId="0" databaseField="0">
      <fieldGroup base="0">
        <rangePr groupBy="years" startDate="2022-07-01T00:00:00" endDate="2023-04-02T00:00:00"/>
        <groupItems count="4">
          <s v="&lt;01.07.2022"/>
          <s v="2022"/>
          <s v="2023"/>
          <s v="&gt;02.04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11500"/>
  </r>
  <r>
    <x v="1"/>
    <x v="0"/>
    <n v="14750"/>
  </r>
  <r>
    <x v="2"/>
    <x v="0"/>
    <n v="18500"/>
  </r>
  <r>
    <x v="3"/>
    <x v="0"/>
    <n v="16250"/>
  </r>
  <r>
    <x v="4"/>
    <x v="0"/>
    <n v="22250"/>
  </r>
  <r>
    <x v="5"/>
    <x v="0"/>
    <n v="11250"/>
  </r>
  <r>
    <x v="6"/>
    <x v="0"/>
    <n v="31000"/>
  </r>
  <r>
    <x v="7"/>
    <x v="0"/>
    <n v="32500"/>
  </r>
  <r>
    <x v="8"/>
    <x v="0"/>
    <n v="49000"/>
  </r>
  <r>
    <x v="9"/>
    <x v="0"/>
    <n v="16750"/>
  </r>
  <r>
    <x v="0"/>
    <x v="1"/>
    <n v="12930"/>
  </r>
  <r>
    <x v="1"/>
    <x v="1"/>
    <n v="39170"/>
  </r>
  <r>
    <x v="2"/>
    <x v="1"/>
    <n v="25580"/>
  </r>
  <r>
    <x v="3"/>
    <x v="1"/>
    <n v="31280"/>
  </r>
  <r>
    <x v="4"/>
    <x v="1"/>
    <n v="24580"/>
  </r>
  <r>
    <x v="5"/>
    <x v="1"/>
    <n v="26730"/>
  </r>
  <r>
    <x v="6"/>
    <x v="1"/>
    <n v="49300"/>
  </r>
  <r>
    <x v="7"/>
    <x v="1"/>
    <n v="45180"/>
  </r>
  <r>
    <x v="8"/>
    <x v="1"/>
    <n v="106440"/>
  </r>
  <r>
    <x v="9"/>
    <x v="1"/>
    <n v="39800"/>
  </r>
  <r>
    <x v="0"/>
    <x v="2"/>
    <n v="14700"/>
  </r>
  <r>
    <x v="1"/>
    <x v="2"/>
    <n v="11900"/>
  </r>
  <r>
    <x v="2"/>
    <x v="2"/>
    <n v="21800"/>
  </r>
  <r>
    <x v="3"/>
    <x v="2"/>
    <n v="18800"/>
  </r>
  <r>
    <x v="4"/>
    <x v="2"/>
    <n v="20400"/>
  </r>
  <r>
    <x v="5"/>
    <x v="2"/>
    <n v="18800"/>
  </r>
  <r>
    <x v="6"/>
    <x v="2"/>
    <n v="27000"/>
  </r>
  <r>
    <x v="7"/>
    <x v="2"/>
    <n v="30200"/>
  </r>
  <r>
    <x v="8"/>
    <x v="2"/>
    <n v="46500"/>
  </r>
  <r>
    <x v="9"/>
    <x v="2"/>
    <n v="26500"/>
  </r>
  <r>
    <x v="0"/>
    <x v="3"/>
    <n v="9485"/>
  </r>
  <r>
    <x v="1"/>
    <x v="3"/>
    <n v="11681"/>
  </r>
  <r>
    <x v="2"/>
    <x v="3"/>
    <n v="5291"/>
  </r>
  <r>
    <x v="3"/>
    <x v="3"/>
    <n v="9584"/>
  </r>
  <r>
    <x v="4"/>
    <x v="3"/>
    <n v="10782"/>
  </r>
  <r>
    <x v="5"/>
    <x v="3"/>
    <n v="5691"/>
  </r>
  <r>
    <x v="6"/>
    <x v="3"/>
    <n v="15374"/>
  </r>
  <r>
    <x v="7"/>
    <x v="3"/>
    <n v="15374"/>
  </r>
  <r>
    <x v="8"/>
    <x v="3"/>
    <n v="13578"/>
  </r>
  <r>
    <x v="9"/>
    <x v="3"/>
    <n v="10281"/>
  </r>
  <r>
    <x v="0"/>
    <x v="4"/>
    <n v="798"/>
  </r>
  <r>
    <x v="1"/>
    <x v="4"/>
    <n v="1270"/>
  </r>
  <r>
    <x v="2"/>
    <x v="4"/>
    <n v="2039"/>
  </r>
  <r>
    <x v="3"/>
    <x v="4"/>
    <n v="599"/>
  </r>
  <r>
    <x v="4"/>
    <x v="4"/>
    <n v="1807"/>
  </r>
  <r>
    <x v="5"/>
    <x v="4"/>
    <n v="609"/>
  </r>
  <r>
    <x v="6"/>
    <x v="4"/>
    <n v="4064"/>
  </r>
  <r>
    <x v="7"/>
    <x v="4"/>
    <n v="1258"/>
  </r>
  <r>
    <x v="8"/>
    <x v="4"/>
    <n v="3670"/>
  </r>
  <r>
    <x v="9"/>
    <x v="4"/>
    <n v="16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AAA95-7F68-4E3A-A098-C243656070D3}" name="Сводная таблица1" cacheId="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3">
  <location ref="F2:L16" firstHeaderRow="1" firstDataRow="2" firstDataCol="1"/>
  <pivotFields count="4">
    <pivotField axis="axisRow"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3"/>
    <field x="0"/>
  </rowFields>
  <rowItems count="13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умма по полю revenue" fld="2" baseField="0" baseItem="0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7E3E-7B37-4C5E-8E24-095EB9141EC1}">
  <dimension ref="A1:B10"/>
  <sheetViews>
    <sheetView workbookViewId="0">
      <selection activeCell="D28" sqref="D28"/>
    </sheetView>
  </sheetViews>
  <sheetFormatPr defaultRowHeight="14.4" x14ac:dyDescent="0.3"/>
  <cols>
    <col min="1" max="1" width="10.109375" style="1" bestFit="1" customWidth="1"/>
    <col min="2" max="2" width="10.88671875" style="1" bestFit="1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3">
        <v>44743</v>
      </c>
      <c r="B2" s="1">
        <v>259</v>
      </c>
    </row>
    <row r="3" spans="1:2" x14ac:dyDescent="0.3">
      <c r="A3" s="3">
        <v>44774</v>
      </c>
      <c r="B3" s="1">
        <v>235</v>
      </c>
    </row>
    <row r="4" spans="1:2" x14ac:dyDescent="0.3">
      <c r="A4" s="3">
        <v>44805</v>
      </c>
      <c r="B4" s="1">
        <v>257</v>
      </c>
    </row>
    <row r="5" spans="1:2" x14ac:dyDescent="0.3">
      <c r="A5" s="3">
        <v>44835</v>
      </c>
      <c r="B5" s="1">
        <v>263</v>
      </c>
    </row>
    <row r="6" spans="1:2" x14ac:dyDescent="0.3">
      <c r="A6" s="3">
        <v>44866</v>
      </c>
      <c r="B6" s="1">
        <v>255</v>
      </c>
    </row>
    <row r="7" spans="1:2" x14ac:dyDescent="0.3">
      <c r="A7" s="3">
        <v>44896</v>
      </c>
      <c r="B7" s="1">
        <v>255</v>
      </c>
    </row>
    <row r="8" spans="1:2" x14ac:dyDescent="0.3">
      <c r="A8" s="3">
        <v>44927</v>
      </c>
      <c r="B8" s="1">
        <v>415</v>
      </c>
    </row>
    <row r="9" spans="1:2" x14ac:dyDescent="0.3">
      <c r="A9" s="3">
        <v>44958</v>
      </c>
      <c r="B9" s="1">
        <v>458</v>
      </c>
    </row>
    <row r="10" spans="1:2" x14ac:dyDescent="0.3">
      <c r="A10" s="3">
        <v>44986</v>
      </c>
      <c r="B10" s="1">
        <v>681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E678-C818-497E-AB97-1E54546C4F67}">
  <dimension ref="A1:C11"/>
  <sheetViews>
    <sheetView workbookViewId="0">
      <selection activeCell="N12" sqref="N12"/>
    </sheetView>
  </sheetViews>
  <sheetFormatPr defaultRowHeight="14.4" x14ac:dyDescent="0.3"/>
  <cols>
    <col min="1" max="1" width="14.21875" style="1" bestFit="1" customWidth="1"/>
    <col min="2" max="2" width="45.5546875" style="1" bestFit="1" customWidth="1"/>
    <col min="3" max="3" width="12" style="1" bestFit="1" customWidth="1"/>
    <col min="4" max="16384" width="8.88671875" style="2"/>
  </cols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 s="3">
        <v>44743</v>
      </c>
      <c r="B2" s="1" t="s">
        <v>5</v>
      </c>
      <c r="C2" s="4">
        <v>2.2188248095756258</v>
      </c>
    </row>
    <row r="3" spans="1:3" x14ac:dyDescent="0.3">
      <c r="A3" s="3">
        <v>44774</v>
      </c>
      <c r="B3" s="1" t="s">
        <v>6</v>
      </c>
      <c r="C3" s="4">
        <v>2.3230326108181991</v>
      </c>
    </row>
    <row r="4" spans="1:3" x14ac:dyDescent="0.3">
      <c r="A4" s="3">
        <v>44805</v>
      </c>
      <c r="B4" s="1" t="s">
        <v>7</v>
      </c>
      <c r="C4" s="4">
        <v>2.2760932944606416</v>
      </c>
    </row>
    <row r="5" spans="1:3" x14ac:dyDescent="0.3">
      <c r="A5" s="3">
        <v>44835</v>
      </c>
      <c r="B5" s="1" t="s">
        <v>8</v>
      </c>
      <c r="C5" s="4">
        <v>2.3715035931453845</v>
      </c>
    </row>
    <row r="6" spans="1:3" x14ac:dyDescent="0.3">
      <c r="A6" s="3">
        <v>44866</v>
      </c>
      <c r="B6" s="1" t="s">
        <v>9</v>
      </c>
      <c r="C6" s="4">
        <v>2.5163474328278799</v>
      </c>
    </row>
    <row r="7" spans="1:3" x14ac:dyDescent="0.3">
      <c r="A7" s="3">
        <v>44896</v>
      </c>
      <c r="B7" s="1" t="s">
        <v>10</v>
      </c>
      <c r="C7" s="4">
        <v>2.731181917211329</v>
      </c>
    </row>
    <row r="8" spans="1:3" x14ac:dyDescent="0.3">
      <c r="A8" s="3">
        <v>44927</v>
      </c>
      <c r="B8" s="1" t="s">
        <v>11</v>
      </c>
      <c r="C8" s="4">
        <v>2.3998779342723009</v>
      </c>
    </row>
    <row r="9" spans="1:3" x14ac:dyDescent="0.3">
      <c r="A9" s="3">
        <v>44958</v>
      </c>
      <c r="B9" s="1" t="s">
        <v>12</v>
      </c>
      <c r="C9" s="4">
        <v>2.2895430218196791</v>
      </c>
    </row>
    <row r="10" spans="1:3" x14ac:dyDescent="0.3">
      <c r="A10" s="3">
        <v>44986</v>
      </c>
      <c r="B10" s="1" t="s">
        <v>13</v>
      </c>
      <c r="C10" s="4">
        <v>5.5359777492511766</v>
      </c>
    </row>
    <row r="11" spans="1:3" x14ac:dyDescent="0.3">
      <c r="A11" s="3">
        <v>45017</v>
      </c>
      <c r="B11" s="1" t="s">
        <v>14</v>
      </c>
      <c r="C11" s="4">
        <v>2.3343766060232296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ACBE-63B9-40E4-9E8F-7C6C16B11A04}">
  <dimension ref="A1:V304"/>
  <sheetViews>
    <sheetView workbookViewId="0">
      <selection activeCell="H15" sqref="H15"/>
    </sheetView>
  </sheetViews>
  <sheetFormatPr defaultRowHeight="14.4" x14ac:dyDescent="0.3"/>
  <cols>
    <col min="1" max="1" width="8.88671875" style="1"/>
    <col min="2" max="2" width="14.21875" style="3" bestFit="1" customWidth="1"/>
    <col min="3" max="5" width="8.88671875" style="1"/>
    <col min="6" max="6" width="10.77734375" style="2" customWidth="1"/>
    <col min="7" max="7" width="11.6640625" style="2" customWidth="1"/>
    <col min="8" max="16384" width="8.88671875" style="2"/>
  </cols>
  <sheetData>
    <row r="1" spans="1:22" x14ac:dyDescent="0.3">
      <c r="A1" s="1" t="s">
        <v>15</v>
      </c>
      <c r="B1" s="3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3">
      <c r="A2" s="1">
        <f>_xlfn.ISOWEEKNUM(B2)</f>
        <v>26</v>
      </c>
      <c r="B2" s="3">
        <v>44744</v>
      </c>
      <c r="C2" s="1">
        <v>3</v>
      </c>
      <c r="D2" s="1">
        <v>6</v>
      </c>
      <c r="E2" s="1">
        <v>193</v>
      </c>
      <c r="F2" s="5">
        <f>C2/D2</f>
        <v>0.5</v>
      </c>
      <c r="G2" s="5">
        <f>C2/E2</f>
        <v>1.5544041450777202E-2</v>
      </c>
      <c r="I2" s="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3">
      <c r="A3" s="1">
        <f t="shared" ref="A3:A66" si="0">_xlfn.ISOWEEKNUM(B3)</f>
        <v>26</v>
      </c>
      <c r="B3" s="3">
        <v>44745</v>
      </c>
      <c r="C3" s="1">
        <v>6</v>
      </c>
      <c r="D3" s="1">
        <v>6</v>
      </c>
      <c r="E3" s="1">
        <v>193</v>
      </c>
      <c r="F3" s="5">
        <f t="shared" ref="F3:F66" si="1">C3/D3</f>
        <v>1</v>
      </c>
      <c r="G3" s="5">
        <f t="shared" ref="G3:G66" si="2">C3/E3</f>
        <v>3.1088082901554404E-2</v>
      </c>
      <c r="I3" s="8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x14ac:dyDescent="0.3">
      <c r="A4" s="1">
        <f t="shared" si="0"/>
        <v>27</v>
      </c>
      <c r="B4" s="3">
        <v>44746</v>
      </c>
      <c r="C4" s="1">
        <v>5</v>
      </c>
      <c r="D4" s="1">
        <v>59</v>
      </c>
      <c r="E4" s="1">
        <v>193</v>
      </c>
      <c r="F4" s="5">
        <f t="shared" si="1"/>
        <v>8.4745762711864403E-2</v>
      </c>
      <c r="G4" s="5">
        <f t="shared" si="2"/>
        <v>2.5906735751295335E-2</v>
      </c>
    </row>
    <row r="5" spans="1:22" x14ac:dyDescent="0.3">
      <c r="A5" s="1">
        <f t="shared" si="0"/>
        <v>27</v>
      </c>
      <c r="B5" s="3">
        <v>44747</v>
      </c>
      <c r="C5" s="1">
        <v>10</v>
      </c>
      <c r="D5" s="1">
        <v>59</v>
      </c>
      <c r="E5" s="1">
        <v>193</v>
      </c>
      <c r="F5" s="5">
        <f t="shared" si="1"/>
        <v>0.16949152542372881</v>
      </c>
      <c r="G5" s="5">
        <f t="shared" si="2"/>
        <v>5.181347150259067E-2</v>
      </c>
    </row>
    <row r="6" spans="1:22" x14ac:dyDescent="0.3">
      <c r="A6" s="1">
        <f t="shared" si="0"/>
        <v>27</v>
      </c>
      <c r="B6" s="3">
        <v>44748</v>
      </c>
      <c r="C6" s="1">
        <v>5</v>
      </c>
      <c r="D6" s="1">
        <v>59</v>
      </c>
      <c r="E6" s="1">
        <v>193</v>
      </c>
      <c r="F6" s="5">
        <f t="shared" si="1"/>
        <v>8.4745762711864403E-2</v>
      </c>
      <c r="G6" s="5">
        <f t="shared" si="2"/>
        <v>2.5906735751295335E-2</v>
      </c>
    </row>
    <row r="7" spans="1:22" x14ac:dyDescent="0.3">
      <c r="A7" s="1">
        <f t="shared" si="0"/>
        <v>27</v>
      </c>
      <c r="B7" s="3">
        <v>44749</v>
      </c>
      <c r="C7" s="1">
        <v>13</v>
      </c>
      <c r="D7" s="1">
        <v>59</v>
      </c>
      <c r="E7" s="1">
        <v>193</v>
      </c>
      <c r="F7" s="5">
        <f t="shared" si="1"/>
        <v>0.22033898305084745</v>
      </c>
      <c r="G7" s="5">
        <f t="shared" si="2"/>
        <v>6.7357512953367879E-2</v>
      </c>
    </row>
    <row r="8" spans="1:22" x14ac:dyDescent="0.3">
      <c r="A8" s="1">
        <f t="shared" si="0"/>
        <v>27</v>
      </c>
      <c r="B8" s="3">
        <v>44750</v>
      </c>
      <c r="C8" s="1">
        <v>22</v>
      </c>
      <c r="D8" s="1">
        <v>59</v>
      </c>
      <c r="E8" s="1">
        <v>193</v>
      </c>
      <c r="F8" s="5">
        <f t="shared" si="1"/>
        <v>0.3728813559322034</v>
      </c>
      <c r="G8" s="5">
        <f t="shared" si="2"/>
        <v>0.11398963730569948</v>
      </c>
    </row>
    <row r="9" spans="1:22" x14ac:dyDescent="0.3">
      <c r="A9" s="1">
        <f t="shared" si="0"/>
        <v>27</v>
      </c>
      <c r="B9" s="3">
        <v>44751</v>
      </c>
      <c r="C9" s="1">
        <v>22</v>
      </c>
      <c r="D9" s="1">
        <v>59</v>
      </c>
      <c r="E9" s="1">
        <v>193</v>
      </c>
      <c r="F9" s="5">
        <f t="shared" si="1"/>
        <v>0.3728813559322034</v>
      </c>
      <c r="G9" s="5">
        <f t="shared" si="2"/>
        <v>0.11398963730569948</v>
      </c>
    </row>
    <row r="10" spans="1:22" x14ac:dyDescent="0.3">
      <c r="A10" s="1">
        <f t="shared" si="0"/>
        <v>27</v>
      </c>
      <c r="B10" s="3">
        <v>44752</v>
      </c>
      <c r="C10" s="1">
        <v>26</v>
      </c>
      <c r="D10" s="1">
        <v>59</v>
      </c>
      <c r="E10" s="1">
        <v>193</v>
      </c>
      <c r="F10" s="5">
        <f t="shared" si="1"/>
        <v>0.44067796610169491</v>
      </c>
      <c r="G10" s="5">
        <f t="shared" si="2"/>
        <v>0.13471502590673576</v>
      </c>
    </row>
    <row r="11" spans="1:22" x14ac:dyDescent="0.3">
      <c r="A11" s="1">
        <f t="shared" si="0"/>
        <v>28</v>
      </c>
      <c r="B11" s="3">
        <v>44753</v>
      </c>
      <c r="C11" s="1">
        <v>23</v>
      </c>
      <c r="D11" s="1">
        <v>92</v>
      </c>
      <c r="E11" s="1">
        <v>193</v>
      </c>
      <c r="F11" s="5">
        <f t="shared" si="1"/>
        <v>0.25</v>
      </c>
      <c r="G11" s="5">
        <f t="shared" si="2"/>
        <v>0.11917098445595854</v>
      </c>
    </row>
    <row r="12" spans="1:22" x14ac:dyDescent="0.3">
      <c r="A12" s="1">
        <f t="shared" si="0"/>
        <v>28</v>
      </c>
      <c r="B12" s="3">
        <v>44754</v>
      </c>
      <c r="C12" s="1">
        <v>24</v>
      </c>
      <c r="D12" s="1">
        <v>92</v>
      </c>
      <c r="E12" s="1">
        <v>193</v>
      </c>
      <c r="F12" s="5">
        <f t="shared" si="1"/>
        <v>0.2608695652173913</v>
      </c>
      <c r="G12" s="5">
        <f t="shared" si="2"/>
        <v>0.12435233160621761</v>
      </c>
    </row>
    <row r="13" spans="1:22" x14ac:dyDescent="0.3">
      <c r="A13" s="1">
        <f t="shared" si="0"/>
        <v>28</v>
      </c>
      <c r="B13" s="3">
        <v>44755</v>
      </c>
      <c r="C13" s="1">
        <v>30</v>
      </c>
      <c r="D13" s="1">
        <v>92</v>
      </c>
      <c r="E13" s="1">
        <v>193</v>
      </c>
      <c r="F13" s="5">
        <f t="shared" si="1"/>
        <v>0.32608695652173914</v>
      </c>
      <c r="G13" s="5">
        <f t="shared" si="2"/>
        <v>0.15544041450777202</v>
      </c>
    </row>
    <row r="14" spans="1:22" x14ac:dyDescent="0.3">
      <c r="A14" s="1">
        <f t="shared" si="0"/>
        <v>28</v>
      </c>
      <c r="B14" s="3">
        <v>44756</v>
      </c>
      <c r="C14" s="1">
        <v>32</v>
      </c>
      <c r="D14" s="1">
        <v>92</v>
      </c>
      <c r="E14" s="1">
        <v>193</v>
      </c>
      <c r="F14" s="5">
        <f t="shared" si="1"/>
        <v>0.34782608695652173</v>
      </c>
      <c r="G14" s="5">
        <f t="shared" si="2"/>
        <v>0.16580310880829016</v>
      </c>
    </row>
    <row r="15" spans="1:22" x14ac:dyDescent="0.3">
      <c r="A15" s="1">
        <f t="shared" si="0"/>
        <v>28</v>
      </c>
      <c r="B15" s="3">
        <v>44757</v>
      </c>
      <c r="C15" s="1">
        <v>25</v>
      </c>
      <c r="D15" s="1">
        <v>92</v>
      </c>
      <c r="E15" s="1">
        <v>193</v>
      </c>
      <c r="F15" s="5">
        <f t="shared" si="1"/>
        <v>0.27173913043478259</v>
      </c>
      <c r="G15" s="5">
        <f t="shared" si="2"/>
        <v>0.12953367875647667</v>
      </c>
    </row>
    <row r="16" spans="1:22" x14ac:dyDescent="0.3">
      <c r="A16" s="1">
        <f t="shared" si="0"/>
        <v>28</v>
      </c>
      <c r="B16" s="3">
        <v>44758</v>
      </c>
      <c r="C16" s="1">
        <v>34</v>
      </c>
      <c r="D16" s="1">
        <v>92</v>
      </c>
      <c r="E16" s="1">
        <v>193</v>
      </c>
      <c r="F16" s="5">
        <f t="shared" si="1"/>
        <v>0.36956521739130432</v>
      </c>
      <c r="G16" s="5">
        <f t="shared" si="2"/>
        <v>0.17616580310880828</v>
      </c>
    </row>
    <row r="17" spans="1:7" x14ac:dyDescent="0.3">
      <c r="A17" s="1">
        <f t="shared" si="0"/>
        <v>28</v>
      </c>
      <c r="B17" s="3">
        <v>44759</v>
      </c>
      <c r="C17" s="1">
        <v>39</v>
      </c>
      <c r="D17" s="1">
        <v>92</v>
      </c>
      <c r="E17" s="1">
        <v>193</v>
      </c>
      <c r="F17" s="5">
        <f t="shared" si="1"/>
        <v>0.42391304347826086</v>
      </c>
      <c r="G17" s="5">
        <f t="shared" si="2"/>
        <v>0.20207253886010362</v>
      </c>
    </row>
    <row r="18" spans="1:7" x14ac:dyDescent="0.3">
      <c r="A18" s="1">
        <f t="shared" si="0"/>
        <v>29</v>
      </c>
      <c r="B18" s="3">
        <v>44760</v>
      </c>
      <c r="C18" s="1">
        <v>22</v>
      </c>
      <c r="D18" s="1">
        <v>133</v>
      </c>
      <c r="E18" s="1">
        <v>193</v>
      </c>
      <c r="F18" s="5">
        <f t="shared" si="1"/>
        <v>0.16541353383458646</v>
      </c>
      <c r="G18" s="5">
        <f t="shared" si="2"/>
        <v>0.11398963730569948</v>
      </c>
    </row>
    <row r="19" spans="1:7" x14ac:dyDescent="0.3">
      <c r="A19" s="1">
        <f t="shared" si="0"/>
        <v>29</v>
      </c>
      <c r="B19" s="3">
        <v>44761</v>
      </c>
      <c r="C19" s="1">
        <v>38</v>
      </c>
      <c r="D19" s="1">
        <v>133</v>
      </c>
      <c r="E19" s="1">
        <v>193</v>
      </c>
      <c r="F19" s="5">
        <f t="shared" si="1"/>
        <v>0.2857142857142857</v>
      </c>
      <c r="G19" s="5">
        <f t="shared" si="2"/>
        <v>0.19689119170984457</v>
      </c>
    </row>
    <row r="20" spans="1:7" x14ac:dyDescent="0.3">
      <c r="A20" s="1">
        <f t="shared" si="0"/>
        <v>29</v>
      </c>
      <c r="B20" s="3">
        <v>44762</v>
      </c>
      <c r="C20" s="1">
        <v>34</v>
      </c>
      <c r="D20" s="1">
        <v>133</v>
      </c>
      <c r="E20" s="1">
        <v>193</v>
      </c>
      <c r="F20" s="5">
        <f t="shared" si="1"/>
        <v>0.25563909774436089</v>
      </c>
      <c r="G20" s="5">
        <f t="shared" si="2"/>
        <v>0.17616580310880828</v>
      </c>
    </row>
    <row r="21" spans="1:7" x14ac:dyDescent="0.3">
      <c r="A21" s="1">
        <f t="shared" si="0"/>
        <v>29</v>
      </c>
      <c r="B21" s="3">
        <v>44763</v>
      </c>
      <c r="C21" s="1">
        <v>50</v>
      </c>
      <c r="D21" s="1">
        <v>133</v>
      </c>
      <c r="E21" s="1">
        <v>193</v>
      </c>
      <c r="F21" s="5">
        <f t="shared" si="1"/>
        <v>0.37593984962406013</v>
      </c>
      <c r="G21" s="5">
        <f t="shared" si="2"/>
        <v>0.25906735751295334</v>
      </c>
    </row>
    <row r="22" spans="1:7" x14ac:dyDescent="0.3">
      <c r="A22" s="1">
        <f t="shared" si="0"/>
        <v>29</v>
      </c>
      <c r="B22" s="3">
        <v>44764</v>
      </c>
      <c r="C22" s="1">
        <v>43</v>
      </c>
      <c r="D22" s="1">
        <v>133</v>
      </c>
      <c r="E22" s="1">
        <v>193</v>
      </c>
      <c r="F22" s="5">
        <f t="shared" si="1"/>
        <v>0.32330827067669171</v>
      </c>
      <c r="G22" s="5">
        <f t="shared" si="2"/>
        <v>0.22279792746113988</v>
      </c>
    </row>
    <row r="23" spans="1:7" x14ac:dyDescent="0.3">
      <c r="A23" s="1">
        <f t="shared" si="0"/>
        <v>29</v>
      </c>
      <c r="B23" s="3">
        <v>44765</v>
      </c>
      <c r="C23" s="1">
        <v>43</v>
      </c>
      <c r="D23" s="1">
        <v>133</v>
      </c>
      <c r="E23" s="1">
        <v>193</v>
      </c>
      <c r="F23" s="5">
        <f t="shared" si="1"/>
        <v>0.32330827067669171</v>
      </c>
      <c r="G23" s="5">
        <f t="shared" si="2"/>
        <v>0.22279792746113988</v>
      </c>
    </row>
    <row r="24" spans="1:7" x14ac:dyDescent="0.3">
      <c r="A24" s="1">
        <f t="shared" si="0"/>
        <v>29</v>
      </c>
      <c r="B24" s="3">
        <v>44766</v>
      </c>
      <c r="C24" s="1">
        <v>53</v>
      </c>
      <c r="D24" s="1">
        <v>133</v>
      </c>
      <c r="E24" s="1">
        <v>193</v>
      </c>
      <c r="F24" s="5">
        <f t="shared" si="1"/>
        <v>0.39849624060150374</v>
      </c>
      <c r="G24" s="5">
        <f t="shared" si="2"/>
        <v>0.27461139896373055</v>
      </c>
    </row>
    <row r="25" spans="1:7" x14ac:dyDescent="0.3">
      <c r="A25" s="1">
        <f t="shared" si="0"/>
        <v>30</v>
      </c>
      <c r="B25" s="3">
        <v>44767</v>
      </c>
      <c r="C25" s="1">
        <v>63</v>
      </c>
      <c r="D25" s="1">
        <v>183</v>
      </c>
      <c r="E25" s="1">
        <v>193</v>
      </c>
      <c r="F25" s="5">
        <f t="shared" si="1"/>
        <v>0.34426229508196721</v>
      </c>
      <c r="G25" s="5">
        <f t="shared" si="2"/>
        <v>0.32642487046632124</v>
      </c>
    </row>
    <row r="26" spans="1:7" x14ac:dyDescent="0.3">
      <c r="A26" s="1">
        <f t="shared" si="0"/>
        <v>30</v>
      </c>
      <c r="B26" s="3">
        <v>44768</v>
      </c>
      <c r="C26" s="1">
        <v>48</v>
      </c>
      <c r="D26" s="1">
        <v>183</v>
      </c>
      <c r="E26" s="1">
        <v>193</v>
      </c>
      <c r="F26" s="5">
        <f t="shared" si="1"/>
        <v>0.26229508196721313</v>
      </c>
      <c r="G26" s="5">
        <f t="shared" si="2"/>
        <v>0.24870466321243523</v>
      </c>
    </row>
    <row r="27" spans="1:7" x14ac:dyDescent="0.3">
      <c r="A27" s="1">
        <f t="shared" si="0"/>
        <v>30</v>
      </c>
      <c r="B27" s="3">
        <v>44769</v>
      </c>
      <c r="C27" s="1">
        <v>59</v>
      </c>
      <c r="D27" s="1">
        <v>183</v>
      </c>
      <c r="E27" s="1">
        <v>193</v>
      </c>
      <c r="F27" s="5">
        <f t="shared" si="1"/>
        <v>0.32240437158469948</v>
      </c>
      <c r="G27" s="5">
        <f t="shared" si="2"/>
        <v>0.30569948186528495</v>
      </c>
    </row>
    <row r="28" spans="1:7" x14ac:dyDescent="0.3">
      <c r="A28" s="1">
        <f t="shared" si="0"/>
        <v>30</v>
      </c>
      <c r="B28" s="3">
        <v>44770</v>
      </c>
      <c r="C28" s="1">
        <v>59</v>
      </c>
      <c r="D28" s="1">
        <v>183</v>
      </c>
      <c r="E28" s="1">
        <v>193</v>
      </c>
      <c r="F28" s="5">
        <f t="shared" si="1"/>
        <v>0.32240437158469948</v>
      </c>
      <c r="G28" s="5">
        <f t="shared" si="2"/>
        <v>0.30569948186528495</v>
      </c>
    </row>
    <row r="29" spans="1:7" x14ac:dyDescent="0.3">
      <c r="A29" s="1">
        <f t="shared" si="0"/>
        <v>30</v>
      </c>
      <c r="B29" s="3">
        <v>44771</v>
      </c>
      <c r="C29" s="1">
        <v>61</v>
      </c>
      <c r="D29" s="1">
        <v>183</v>
      </c>
      <c r="E29" s="1">
        <v>193</v>
      </c>
      <c r="F29" s="5">
        <f t="shared" si="1"/>
        <v>0.33333333333333331</v>
      </c>
      <c r="G29" s="5">
        <f t="shared" si="2"/>
        <v>0.31606217616580312</v>
      </c>
    </row>
    <row r="30" spans="1:7" x14ac:dyDescent="0.3">
      <c r="A30" s="1">
        <f t="shared" si="0"/>
        <v>30</v>
      </c>
      <c r="B30" s="3">
        <v>44772</v>
      </c>
      <c r="C30" s="1">
        <v>64</v>
      </c>
      <c r="D30" s="1">
        <v>183</v>
      </c>
      <c r="E30" s="1">
        <v>193</v>
      </c>
      <c r="F30" s="5">
        <f t="shared" si="1"/>
        <v>0.34972677595628415</v>
      </c>
      <c r="G30" s="5">
        <f t="shared" si="2"/>
        <v>0.33160621761658032</v>
      </c>
    </row>
    <row r="31" spans="1:7" x14ac:dyDescent="0.3">
      <c r="A31" s="1">
        <f t="shared" si="0"/>
        <v>30</v>
      </c>
      <c r="B31" s="3">
        <v>44773</v>
      </c>
      <c r="C31" s="1">
        <v>64</v>
      </c>
      <c r="D31" s="1">
        <v>183</v>
      </c>
      <c r="E31" s="1">
        <v>193</v>
      </c>
      <c r="F31" s="5">
        <f t="shared" si="1"/>
        <v>0.34972677595628415</v>
      </c>
      <c r="G31" s="5">
        <f t="shared" si="2"/>
        <v>0.33160621761658032</v>
      </c>
    </row>
    <row r="32" spans="1:7" x14ac:dyDescent="0.3">
      <c r="A32" s="1">
        <f t="shared" si="0"/>
        <v>31</v>
      </c>
      <c r="B32" s="3">
        <v>44774</v>
      </c>
      <c r="C32" s="1">
        <v>52</v>
      </c>
      <c r="D32" s="1">
        <v>202</v>
      </c>
      <c r="E32" s="1">
        <v>366</v>
      </c>
      <c r="F32" s="5">
        <f t="shared" si="1"/>
        <v>0.25742574257425743</v>
      </c>
      <c r="G32" s="5">
        <f t="shared" si="2"/>
        <v>0.14207650273224043</v>
      </c>
    </row>
    <row r="33" spans="1:9" x14ac:dyDescent="0.3">
      <c r="A33" s="1">
        <f t="shared" si="0"/>
        <v>31</v>
      </c>
      <c r="B33" s="3">
        <v>44775</v>
      </c>
      <c r="C33" s="1">
        <v>62</v>
      </c>
      <c r="D33" s="1">
        <v>202</v>
      </c>
      <c r="E33" s="1">
        <v>366</v>
      </c>
      <c r="F33" s="5">
        <f t="shared" si="1"/>
        <v>0.30693069306930693</v>
      </c>
      <c r="G33" s="5">
        <f t="shared" si="2"/>
        <v>0.16939890710382513</v>
      </c>
    </row>
    <row r="34" spans="1:9" x14ac:dyDescent="0.3">
      <c r="A34" s="1">
        <f t="shared" si="0"/>
        <v>31</v>
      </c>
      <c r="B34" s="3">
        <v>44776</v>
      </c>
      <c r="C34" s="1">
        <v>55</v>
      </c>
      <c r="D34" s="1">
        <v>202</v>
      </c>
      <c r="E34" s="1">
        <v>366</v>
      </c>
      <c r="F34" s="5">
        <f t="shared" si="1"/>
        <v>0.2722772277227723</v>
      </c>
      <c r="G34" s="5">
        <f t="shared" si="2"/>
        <v>0.15027322404371585</v>
      </c>
    </row>
    <row r="35" spans="1:9" x14ac:dyDescent="0.3">
      <c r="A35" s="1">
        <f t="shared" si="0"/>
        <v>31</v>
      </c>
      <c r="B35" s="3">
        <v>44777</v>
      </c>
      <c r="C35" s="1">
        <v>60</v>
      </c>
      <c r="D35" s="1">
        <v>202</v>
      </c>
      <c r="E35" s="1">
        <v>366</v>
      </c>
      <c r="F35" s="5">
        <f t="shared" si="1"/>
        <v>0.29702970297029702</v>
      </c>
      <c r="G35" s="5">
        <f t="shared" si="2"/>
        <v>0.16393442622950818</v>
      </c>
    </row>
    <row r="36" spans="1:9" x14ac:dyDescent="0.3">
      <c r="A36" s="1">
        <f t="shared" si="0"/>
        <v>31</v>
      </c>
      <c r="B36" s="3">
        <v>44778</v>
      </c>
      <c r="C36" s="1">
        <v>52</v>
      </c>
      <c r="D36" s="1">
        <v>202</v>
      </c>
      <c r="E36" s="1">
        <v>366</v>
      </c>
      <c r="F36" s="5">
        <f t="shared" si="1"/>
        <v>0.25742574257425743</v>
      </c>
      <c r="G36" s="5">
        <f t="shared" si="2"/>
        <v>0.14207650273224043</v>
      </c>
    </row>
    <row r="37" spans="1:9" x14ac:dyDescent="0.3">
      <c r="A37" s="1">
        <f t="shared" si="0"/>
        <v>31</v>
      </c>
      <c r="B37" s="3">
        <v>44779</v>
      </c>
      <c r="C37" s="1">
        <v>62</v>
      </c>
      <c r="D37" s="1">
        <v>202</v>
      </c>
      <c r="E37" s="1">
        <v>366</v>
      </c>
      <c r="F37" s="5">
        <f t="shared" si="1"/>
        <v>0.30693069306930693</v>
      </c>
      <c r="G37" s="5">
        <f t="shared" si="2"/>
        <v>0.16939890710382513</v>
      </c>
      <c r="I37" s="6"/>
    </row>
    <row r="38" spans="1:9" x14ac:dyDescent="0.3">
      <c r="A38" s="1">
        <f t="shared" si="0"/>
        <v>31</v>
      </c>
      <c r="B38" s="3">
        <v>44780</v>
      </c>
      <c r="C38" s="1">
        <v>59</v>
      </c>
      <c r="D38" s="1">
        <v>202</v>
      </c>
      <c r="E38" s="1">
        <v>366</v>
      </c>
      <c r="F38" s="5">
        <f t="shared" si="1"/>
        <v>0.29207920792079206</v>
      </c>
      <c r="G38" s="5">
        <f t="shared" si="2"/>
        <v>0.16120218579234974</v>
      </c>
      <c r="I38" s="6"/>
    </row>
    <row r="39" spans="1:9" x14ac:dyDescent="0.3">
      <c r="A39" s="1">
        <f t="shared" si="0"/>
        <v>32</v>
      </c>
      <c r="B39" s="3">
        <v>44781</v>
      </c>
      <c r="C39" s="1">
        <v>58</v>
      </c>
      <c r="D39" s="1">
        <v>193</v>
      </c>
      <c r="E39" s="1">
        <v>366</v>
      </c>
      <c r="F39" s="5">
        <f t="shared" si="1"/>
        <v>0.30051813471502592</v>
      </c>
      <c r="G39" s="5">
        <f t="shared" si="2"/>
        <v>0.15846994535519127</v>
      </c>
    </row>
    <row r="40" spans="1:9" x14ac:dyDescent="0.3">
      <c r="A40" s="1">
        <f t="shared" si="0"/>
        <v>32</v>
      </c>
      <c r="B40" s="3">
        <v>44782</v>
      </c>
      <c r="C40" s="1">
        <v>53</v>
      </c>
      <c r="D40" s="1">
        <v>193</v>
      </c>
      <c r="E40" s="1">
        <v>366</v>
      </c>
      <c r="F40" s="5">
        <f t="shared" si="1"/>
        <v>0.27461139896373055</v>
      </c>
      <c r="G40" s="5">
        <f t="shared" si="2"/>
        <v>0.1448087431693989</v>
      </c>
    </row>
    <row r="41" spans="1:9" x14ac:dyDescent="0.3">
      <c r="A41" s="1">
        <f t="shared" si="0"/>
        <v>32</v>
      </c>
      <c r="B41" s="3">
        <v>44783</v>
      </c>
      <c r="C41" s="1">
        <v>55</v>
      </c>
      <c r="D41" s="1">
        <v>193</v>
      </c>
      <c r="E41" s="1">
        <v>366</v>
      </c>
      <c r="F41" s="5">
        <f t="shared" si="1"/>
        <v>0.28497409326424872</v>
      </c>
      <c r="G41" s="5">
        <f t="shared" si="2"/>
        <v>0.15027322404371585</v>
      </c>
    </row>
    <row r="42" spans="1:9" x14ac:dyDescent="0.3">
      <c r="A42" s="1">
        <f t="shared" si="0"/>
        <v>32</v>
      </c>
      <c r="B42" s="3">
        <v>44784</v>
      </c>
      <c r="C42" s="1">
        <v>65</v>
      </c>
      <c r="D42" s="1">
        <v>193</v>
      </c>
      <c r="E42" s="1">
        <v>366</v>
      </c>
      <c r="F42" s="5">
        <f t="shared" si="1"/>
        <v>0.33678756476683935</v>
      </c>
      <c r="G42" s="5">
        <f t="shared" si="2"/>
        <v>0.17759562841530055</v>
      </c>
    </row>
    <row r="43" spans="1:9" x14ac:dyDescent="0.3">
      <c r="A43" s="1">
        <f t="shared" si="0"/>
        <v>32</v>
      </c>
      <c r="B43" s="3">
        <v>44785</v>
      </c>
      <c r="C43" s="1">
        <v>54</v>
      </c>
      <c r="D43" s="1">
        <v>193</v>
      </c>
      <c r="E43" s="1">
        <v>366</v>
      </c>
      <c r="F43" s="5">
        <f t="shared" si="1"/>
        <v>0.27979274611398963</v>
      </c>
      <c r="G43" s="5">
        <f t="shared" si="2"/>
        <v>0.14754098360655737</v>
      </c>
    </row>
    <row r="44" spans="1:9" x14ac:dyDescent="0.3">
      <c r="A44" s="1">
        <f t="shared" si="0"/>
        <v>32</v>
      </c>
      <c r="B44" s="3">
        <v>44786</v>
      </c>
      <c r="C44" s="1">
        <v>74</v>
      </c>
      <c r="D44" s="1">
        <v>193</v>
      </c>
      <c r="E44" s="1">
        <v>366</v>
      </c>
      <c r="F44" s="5">
        <f t="shared" si="1"/>
        <v>0.38341968911917096</v>
      </c>
      <c r="G44" s="5">
        <f t="shared" si="2"/>
        <v>0.20218579234972678</v>
      </c>
    </row>
    <row r="45" spans="1:9" x14ac:dyDescent="0.3">
      <c r="A45" s="1">
        <f t="shared" si="0"/>
        <v>32</v>
      </c>
      <c r="B45" s="3">
        <v>44787</v>
      </c>
      <c r="C45" s="1">
        <v>59</v>
      </c>
      <c r="D45" s="1">
        <v>193</v>
      </c>
      <c r="E45" s="1">
        <v>366</v>
      </c>
      <c r="F45" s="5">
        <f t="shared" si="1"/>
        <v>0.30569948186528495</v>
      </c>
      <c r="G45" s="5">
        <f t="shared" si="2"/>
        <v>0.16120218579234974</v>
      </c>
    </row>
    <row r="46" spans="1:9" x14ac:dyDescent="0.3">
      <c r="A46" s="1">
        <f t="shared" si="0"/>
        <v>33</v>
      </c>
      <c r="B46" s="3">
        <v>44788</v>
      </c>
      <c r="C46" s="1">
        <v>54</v>
      </c>
      <c r="D46" s="1">
        <v>201</v>
      </c>
      <c r="E46" s="1">
        <v>366</v>
      </c>
      <c r="F46" s="5">
        <f t="shared" si="1"/>
        <v>0.26865671641791045</v>
      </c>
      <c r="G46" s="5">
        <f t="shared" si="2"/>
        <v>0.14754098360655737</v>
      </c>
    </row>
    <row r="47" spans="1:9" x14ac:dyDescent="0.3">
      <c r="A47" s="1">
        <f t="shared" si="0"/>
        <v>33</v>
      </c>
      <c r="B47" s="3">
        <v>44789</v>
      </c>
      <c r="C47" s="1">
        <v>68</v>
      </c>
      <c r="D47" s="1">
        <v>201</v>
      </c>
      <c r="E47" s="1">
        <v>366</v>
      </c>
      <c r="F47" s="5">
        <f t="shared" si="1"/>
        <v>0.3383084577114428</v>
      </c>
      <c r="G47" s="5">
        <f t="shared" si="2"/>
        <v>0.18579234972677597</v>
      </c>
    </row>
    <row r="48" spans="1:9" x14ac:dyDescent="0.3">
      <c r="A48" s="1">
        <f t="shared" si="0"/>
        <v>33</v>
      </c>
      <c r="B48" s="3">
        <v>44790</v>
      </c>
      <c r="C48" s="1">
        <v>59</v>
      </c>
      <c r="D48" s="1">
        <v>201</v>
      </c>
      <c r="E48" s="1">
        <v>366</v>
      </c>
      <c r="F48" s="5">
        <f t="shared" si="1"/>
        <v>0.29353233830845771</v>
      </c>
      <c r="G48" s="5">
        <f t="shared" si="2"/>
        <v>0.16120218579234974</v>
      </c>
    </row>
    <row r="49" spans="1:7" x14ac:dyDescent="0.3">
      <c r="A49" s="1">
        <f t="shared" si="0"/>
        <v>33</v>
      </c>
      <c r="B49" s="3">
        <v>44791</v>
      </c>
      <c r="C49" s="1">
        <v>61</v>
      </c>
      <c r="D49" s="1">
        <v>201</v>
      </c>
      <c r="E49" s="1">
        <v>366</v>
      </c>
      <c r="F49" s="5">
        <f t="shared" si="1"/>
        <v>0.30348258706467662</v>
      </c>
      <c r="G49" s="5">
        <f t="shared" si="2"/>
        <v>0.16666666666666666</v>
      </c>
    </row>
    <row r="50" spans="1:7" x14ac:dyDescent="0.3">
      <c r="A50" s="1">
        <f t="shared" si="0"/>
        <v>33</v>
      </c>
      <c r="B50" s="3">
        <v>44792</v>
      </c>
      <c r="C50" s="1">
        <v>58</v>
      </c>
      <c r="D50" s="1">
        <v>201</v>
      </c>
      <c r="E50" s="1">
        <v>366</v>
      </c>
      <c r="F50" s="5">
        <f t="shared" si="1"/>
        <v>0.28855721393034828</v>
      </c>
      <c r="G50" s="5">
        <f t="shared" si="2"/>
        <v>0.15846994535519127</v>
      </c>
    </row>
    <row r="51" spans="1:7" x14ac:dyDescent="0.3">
      <c r="A51" s="1">
        <f t="shared" si="0"/>
        <v>33</v>
      </c>
      <c r="B51" s="3">
        <v>44793</v>
      </c>
      <c r="C51" s="1">
        <v>67</v>
      </c>
      <c r="D51" s="1">
        <v>201</v>
      </c>
      <c r="E51" s="1">
        <v>366</v>
      </c>
      <c r="F51" s="5">
        <f t="shared" si="1"/>
        <v>0.33333333333333331</v>
      </c>
      <c r="G51" s="5">
        <f t="shared" si="2"/>
        <v>0.1830601092896175</v>
      </c>
    </row>
    <row r="52" spans="1:7" x14ac:dyDescent="0.3">
      <c r="A52" s="1">
        <f t="shared" si="0"/>
        <v>33</v>
      </c>
      <c r="B52" s="3">
        <v>44794</v>
      </c>
      <c r="C52" s="1">
        <v>62</v>
      </c>
      <c r="D52" s="1">
        <v>201</v>
      </c>
      <c r="E52" s="1">
        <v>366</v>
      </c>
      <c r="F52" s="5">
        <f t="shared" si="1"/>
        <v>0.30845771144278605</v>
      </c>
      <c r="G52" s="5">
        <f t="shared" si="2"/>
        <v>0.16939890710382513</v>
      </c>
    </row>
    <row r="53" spans="1:7" x14ac:dyDescent="0.3">
      <c r="A53" s="1">
        <f t="shared" si="0"/>
        <v>34</v>
      </c>
      <c r="B53" s="3">
        <v>44795</v>
      </c>
      <c r="C53" s="1">
        <v>53</v>
      </c>
      <c r="D53" s="1">
        <v>206</v>
      </c>
      <c r="E53" s="1">
        <v>366</v>
      </c>
      <c r="F53" s="5">
        <f t="shared" si="1"/>
        <v>0.25728155339805825</v>
      </c>
      <c r="G53" s="5">
        <f t="shared" si="2"/>
        <v>0.1448087431693989</v>
      </c>
    </row>
    <row r="54" spans="1:7" x14ac:dyDescent="0.3">
      <c r="A54" s="1">
        <f t="shared" si="0"/>
        <v>34</v>
      </c>
      <c r="B54" s="3">
        <v>44796</v>
      </c>
      <c r="C54" s="1">
        <v>60</v>
      </c>
      <c r="D54" s="1">
        <v>206</v>
      </c>
      <c r="E54" s="1">
        <v>366</v>
      </c>
      <c r="F54" s="5">
        <f t="shared" si="1"/>
        <v>0.29126213592233008</v>
      </c>
      <c r="G54" s="5">
        <f t="shared" si="2"/>
        <v>0.16393442622950818</v>
      </c>
    </row>
    <row r="55" spans="1:7" x14ac:dyDescent="0.3">
      <c r="A55" s="1">
        <f t="shared" si="0"/>
        <v>34</v>
      </c>
      <c r="B55" s="3">
        <v>44797</v>
      </c>
      <c r="C55" s="1">
        <v>67</v>
      </c>
      <c r="D55" s="1">
        <v>206</v>
      </c>
      <c r="E55" s="1">
        <v>366</v>
      </c>
      <c r="F55" s="5">
        <f t="shared" si="1"/>
        <v>0.32524271844660196</v>
      </c>
      <c r="G55" s="5">
        <f t="shared" si="2"/>
        <v>0.1830601092896175</v>
      </c>
    </row>
    <row r="56" spans="1:7" x14ac:dyDescent="0.3">
      <c r="A56" s="1">
        <f t="shared" si="0"/>
        <v>34</v>
      </c>
      <c r="B56" s="3">
        <v>44798</v>
      </c>
      <c r="C56" s="1">
        <v>67</v>
      </c>
      <c r="D56" s="1">
        <v>206</v>
      </c>
      <c r="E56" s="1">
        <v>366</v>
      </c>
      <c r="F56" s="5">
        <f t="shared" si="1"/>
        <v>0.32524271844660196</v>
      </c>
      <c r="G56" s="5">
        <f t="shared" si="2"/>
        <v>0.1830601092896175</v>
      </c>
    </row>
    <row r="57" spans="1:7" x14ac:dyDescent="0.3">
      <c r="A57" s="1">
        <f t="shared" si="0"/>
        <v>34</v>
      </c>
      <c r="B57" s="3">
        <v>44799</v>
      </c>
      <c r="C57" s="1">
        <v>61</v>
      </c>
      <c r="D57" s="1">
        <v>206</v>
      </c>
      <c r="E57" s="1">
        <v>366</v>
      </c>
      <c r="F57" s="5">
        <f t="shared" si="1"/>
        <v>0.29611650485436891</v>
      </c>
      <c r="G57" s="5">
        <f t="shared" si="2"/>
        <v>0.16666666666666666</v>
      </c>
    </row>
    <row r="58" spans="1:7" x14ac:dyDescent="0.3">
      <c r="A58" s="1">
        <f t="shared" si="0"/>
        <v>34</v>
      </c>
      <c r="B58" s="3">
        <v>44800</v>
      </c>
      <c r="C58" s="1">
        <v>63</v>
      </c>
      <c r="D58" s="1">
        <v>206</v>
      </c>
      <c r="E58" s="1">
        <v>366</v>
      </c>
      <c r="F58" s="5">
        <f t="shared" si="1"/>
        <v>0.30582524271844658</v>
      </c>
      <c r="G58" s="5">
        <f t="shared" si="2"/>
        <v>0.1721311475409836</v>
      </c>
    </row>
    <row r="59" spans="1:7" x14ac:dyDescent="0.3">
      <c r="A59" s="1">
        <f t="shared" si="0"/>
        <v>34</v>
      </c>
      <c r="B59" s="3">
        <v>44801</v>
      </c>
      <c r="C59" s="1">
        <v>61</v>
      </c>
      <c r="D59" s="1">
        <v>206</v>
      </c>
      <c r="E59" s="1">
        <v>366</v>
      </c>
      <c r="F59" s="5">
        <f t="shared" si="1"/>
        <v>0.29611650485436891</v>
      </c>
      <c r="G59" s="5">
        <f t="shared" si="2"/>
        <v>0.16666666666666666</v>
      </c>
    </row>
    <row r="60" spans="1:7" x14ac:dyDescent="0.3">
      <c r="A60" s="1">
        <f t="shared" si="0"/>
        <v>35</v>
      </c>
      <c r="B60" s="3">
        <v>44802</v>
      </c>
      <c r="C60" s="1">
        <v>54</v>
      </c>
      <c r="D60" s="1">
        <v>192</v>
      </c>
      <c r="E60" s="1">
        <v>366</v>
      </c>
      <c r="F60" s="5">
        <f t="shared" si="1"/>
        <v>0.28125</v>
      </c>
      <c r="G60" s="5">
        <f t="shared" si="2"/>
        <v>0.14754098360655737</v>
      </c>
    </row>
    <row r="61" spans="1:7" x14ac:dyDescent="0.3">
      <c r="A61" s="1">
        <f t="shared" si="0"/>
        <v>35</v>
      </c>
      <c r="B61" s="3">
        <v>44803</v>
      </c>
      <c r="C61" s="1">
        <v>72</v>
      </c>
      <c r="D61" s="1">
        <v>192</v>
      </c>
      <c r="E61" s="1">
        <v>366</v>
      </c>
      <c r="F61" s="5">
        <f t="shared" si="1"/>
        <v>0.375</v>
      </c>
      <c r="G61" s="5">
        <f t="shared" si="2"/>
        <v>0.19672131147540983</v>
      </c>
    </row>
    <row r="62" spans="1:7" x14ac:dyDescent="0.3">
      <c r="A62" s="1">
        <f t="shared" si="0"/>
        <v>35</v>
      </c>
      <c r="B62" s="3">
        <v>44804</v>
      </c>
      <c r="C62" s="1">
        <v>54</v>
      </c>
      <c r="D62" s="1">
        <v>192</v>
      </c>
      <c r="E62" s="1">
        <v>366</v>
      </c>
      <c r="F62" s="5">
        <f t="shared" si="1"/>
        <v>0.28125</v>
      </c>
      <c r="G62" s="5">
        <f t="shared" si="2"/>
        <v>0.14754098360655737</v>
      </c>
    </row>
    <row r="63" spans="1:7" x14ac:dyDescent="0.3">
      <c r="A63" s="1">
        <f t="shared" si="0"/>
        <v>35</v>
      </c>
      <c r="B63" s="3">
        <v>44805</v>
      </c>
      <c r="C63" s="1">
        <v>66</v>
      </c>
      <c r="D63" s="1">
        <v>192</v>
      </c>
      <c r="E63" s="1">
        <v>378</v>
      </c>
      <c r="F63" s="5">
        <f t="shared" si="1"/>
        <v>0.34375</v>
      </c>
      <c r="G63" s="5">
        <f t="shared" si="2"/>
        <v>0.17460317460317459</v>
      </c>
    </row>
    <row r="64" spans="1:7" x14ac:dyDescent="0.3">
      <c r="A64" s="1">
        <f t="shared" si="0"/>
        <v>35</v>
      </c>
      <c r="B64" s="3">
        <v>44806</v>
      </c>
      <c r="C64" s="1">
        <v>61</v>
      </c>
      <c r="D64" s="1">
        <v>192</v>
      </c>
      <c r="E64" s="1">
        <v>378</v>
      </c>
      <c r="F64" s="5">
        <f t="shared" si="1"/>
        <v>0.31770833333333331</v>
      </c>
      <c r="G64" s="5">
        <f t="shared" si="2"/>
        <v>0.16137566137566137</v>
      </c>
    </row>
    <row r="65" spans="1:7" x14ac:dyDescent="0.3">
      <c r="A65" s="1">
        <f t="shared" si="0"/>
        <v>35</v>
      </c>
      <c r="B65" s="3">
        <v>44807</v>
      </c>
      <c r="C65" s="1">
        <v>58</v>
      </c>
      <c r="D65" s="1">
        <v>192</v>
      </c>
      <c r="E65" s="1">
        <v>378</v>
      </c>
      <c r="F65" s="5">
        <f t="shared" si="1"/>
        <v>0.30208333333333331</v>
      </c>
      <c r="G65" s="5">
        <f t="shared" si="2"/>
        <v>0.15343915343915343</v>
      </c>
    </row>
    <row r="66" spans="1:7" x14ac:dyDescent="0.3">
      <c r="A66" s="1">
        <f t="shared" si="0"/>
        <v>35</v>
      </c>
      <c r="B66" s="3">
        <v>44808</v>
      </c>
      <c r="C66" s="1">
        <v>64</v>
      </c>
      <c r="D66" s="1">
        <v>192</v>
      </c>
      <c r="E66" s="1">
        <v>378</v>
      </c>
      <c r="F66" s="5">
        <f t="shared" si="1"/>
        <v>0.33333333333333331</v>
      </c>
      <c r="G66" s="5">
        <f t="shared" si="2"/>
        <v>0.1693121693121693</v>
      </c>
    </row>
    <row r="67" spans="1:7" x14ac:dyDescent="0.3">
      <c r="A67" s="1">
        <f t="shared" ref="A67:A130" si="3">_xlfn.ISOWEEKNUM(B67)</f>
        <v>36</v>
      </c>
      <c r="B67" s="3">
        <v>44809</v>
      </c>
      <c r="C67" s="1">
        <v>62</v>
      </c>
      <c r="D67" s="1">
        <v>196</v>
      </c>
      <c r="E67" s="1">
        <v>378</v>
      </c>
      <c r="F67" s="5">
        <f t="shared" ref="F67:F130" si="4">C67/D67</f>
        <v>0.31632653061224492</v>
      </c>
      <c r="G67" s="5">
        <f t="shared" ref="G67:G130" si="5">C67/E67</f>
        <v>0.16402116402116401</v>
      </c>
    </row>
    <row r="68" spans="1:7" x14ac:dyDescent="0.3">
      <c r="A68" s="1">
        <f t="shared" si="3"/>
        <v>36</v>
      </c>
      <c r="B68" s="3">
        <v>44810</v>
      </c>
      <c r="C68" s="1">
        <v>46</v>
      </c>
      <c r="D68" s="1">
        <v>196</v>
      </c>
      <c r="E68" s="1">
        <v>378</v>
      </c>
      <c r="F68" s="5">
        <f t="shared" si="4"/>
        <v>0.23469387755102042</v>
      </c>
      <c r="G68" s="5">
        <f t="shared" si="5"/>
        <v>0.12169312169312169</v>
      </c>
    </row>
    <row r="69" spans="1:7" x14ac:dyDescent="0.3">
      <c r="A69" s="1">
        <f t="shared" si="3"/>
        <v>36</v>
      </c>
      <c r="B69" s="3">
        <v>44811</v>
      </c>
      <c r="C69" s="1">
        <v>49</v>
      </c>
      <c r="D69" s="1">
        <v>196</v>
      </c>
      <c r="E69" s="1">
        <v>378</v>
      </c>
      <c r="F69" s="5">
        <f t="shared" si="4"/>
        <v>0.25</v>
      </c>
      <c r="G69" s="5">
        <f t="shared" si="5"/>
        <v>0.12962962962962962</v>
      </c>
    </row>
    <row r="70" spans="1:7" x14ac:dyDescent="0.3">
      <c r="A70" s="1">
        <f t="shared" si="3"/>
        <v>36</v>
      </c>
      <c r="B70" s="3">
        <v>44812</v>
      </c>
      <c r="C70" s="1">
        <v>59</v>
      </c>
      <c r="D70" s="1">
        <v>196</v>
      </c>
      <c r="E70" s="1">
        <v>378</v>
      </c>
      <c r="F70" s="5">
        <f t="shared" si="4"/>
        <v>0.30102040816326531</v>
      </c>
      <c r="G70" s="5">
        <f t="shared" si="5"/>
        <v>0.15608465608465608</v>
      </c>
    </row>
    <row r="71" spans="1:7" x14ac:dyDescent="0.3">
      <c r="A71" s="1">
        <f t="shared" si="3"/>
        <v>36</v>
      </c>
      <c r="B71" s="3">
        <v>44813</v>
      </c>
      <c r="C71" s="1">
        <v>60</v>
      </c>
      <c r="D71" s="1">
        <v>196</v>
      </c>
      <c r="E71" s="1">
        <v>378</v>
      </c>
      <c r="F71" s="5">
        <f t="shared" si="4"/>
        <v>0.30612244897959184</v>
      </c>
      <c r="G71" s="5">
        <f t="shared" si="5"/>
        <v>0.15873015873015872</v>
      </c>
    </row>
    <row r="72" spans="1:7" x14ac:dyDescent="0.3">
      <c r="A72" s="1">
        <f t="shared" si="3"/>
        <v>36</v>
      </c>
      <c r="B72" s="3">
        <v>44814</v>
      </c>
      <c r="C72" s="1">
        <v>53</v>
      </c>
      <c r="D72" s="1">
        <v>196</v>
      </c>
      <c r="E72" s="1">
        <v>378</v>
      </c>
      <c r="F72" s="5">
        <f t="shared" si="4"/>
        <v>0.27040816326530615</v>
      </c>
      <c r="G72" s="5">
        <f t="shared" si="5"/>
        <v>0.1402116402116402</v>
      </c>
    </row>
    <row r="73" spans="1:7" x14ac:dyDescent="0.3">
      <c r="A73" s="1">
        <f t="shared" si="3"/>
        <v>36</v>
      </c>
      <c r="B73" s="3">
        <v>44815</v>
      </c>
      <c r="C73" s="1">
        <v>61</v>
      </c>
      <c r="D73" s="1">
        <v>196</v>
      </c>
      <c r="E73" s="1">
        <v>378</v>
      </c>
      <c r="F73" s="5">
        <f t="shared" si="4"/>
        <v>0.31122448979591838</v>
      </c>
      <c r="G73" s="5">
        <f t="shared" si="5"/>
        <v>0.16137566137566137</v>
      </c>
    </row>
    <row r="74" spans="1:7" x14ac:dyDescent="0.3">
      <c r="A74" s="1">
        <f t="shared" si="3"/>
        <v>37</v>
      </c>
      <c r="B74" s="3">
        <v>44816</v>
      </c>
      <c r="C74" s="1">
        <v>58</v>
      </c>
      <c r="D74" s="1">
        <v>205</v>
      </c>
      <c r="E74" s="1">
        <v>378</v>
      </c>
      <c r="F74" s="5">
        <f t="shared" si="4"/>
        <v>0.28292682926829266</v>
      </c>
      <c r="G74" s="5">
        <f t="shared" si="5"/>
        <v>0.15343915343915343</v>
      </c>
    </row>
    <row r="75" spans="1:7" x14ac:dyDescent="0.3">
      <c r="A75" s="1">
        <f t="shared" si="3"/>
        <v>37</v>
      </c>
      <c r="B75" s="3">
        <v>44817</v>
      </c>
      <c r="C75" s="1">
        <v>64</v>
      </c>
      <c r="D75" s="1">
        <v>205</v>
      </c>
      <c r="E75" s="1">
        <v>378</v>
      </c>
      <c r="F75" s="5">
        <f t="shared" si="4"/>
        <v>0.31219512195121951</v>
      </c>
      <c r="G75" s="5">
        <f t="shared" si="5"/>
        <v>0.1693121693121693</v>
      </c>
    </row>
    <row r="76" spans="1:7" x14ac:dyDescent="0.3">
      <c r="A76" s="1">
        <f t="shared" si="3"/>
        <v>37</v>
      </c>
      <c r="B76" s="3">
        <v>44818</v>
      </c>
      <c r="C76" s="1">
        <v>65</v>
      </c>
      <c r="D76" s="1">
        <v>205</v>
      </c>
      <c r="E76" s="1">
        <v>378</v>
      </c>
      <c r="F76" s="5">
        <f t="shared" si="4"/>
        <v>0.31707317073170732</v>
      </c>
      <c r="G76" s="5">
        <f t="shared" si="5"/>
        <v>0.17195767195767195</v>
      </c>
    </row>
    <row r="77" spans="1:7" x14ac:dyDescent="0.3">
      <c r="A77" s="1">
        <f t="shared" si="3"/>
        <v>37</v>
      </c>
      <c r="B77" s="3">
        <v>44819</v>
      </c>
      <c r="C77" s="1">
        <v>74</v>
      </c>
      <c r="D77" s="1">
        <v>205</v>
      </c>
      <c r="E77" s="1">
        <v>378</v>
      </c>
      <c r="F77" s="5">
        <f t="shared" si="4"/>
        <v>0.36097560975609755</v>
      </c>
      <c r="G77" s="5">
        <f t="shared" si="5"/>
        <v>0.19576719576719576</v>
      </c>
    </row>
    <row r="78" spans="1:7" x14ac:dyDescent="0.3">
      <c r="A78" s="1">
        <f t="shared" si="3"/>
        <v>37</v>
      </c>
      <c r="B78" s="3">
        <v>44820</v>
      </c>
      <c r="C78" s="1">
        <v>58</v>
      </c>
      <c r="D78" s="1">
        <v>205</v>
      </c>
      <c r="E78" s="1">
        <v>378</v>
      </c>
      <c r="F78" s="5">
        <f t="shared" si="4"/>
        <v>0.28292682926829266</v>
      </c>
      <c r="G78" s="5">
        <f t="shared" si="5"/>
        <v>0.15343915343915343</v>
      </c>
    </row>
    <row r="79" spans="1:7" x14ac:dyDescent="0.3">
      <c r="A79" s="1">
        <f t="shared" si="3"/>
        <v>37</v>
      </c>
      <c r="B79" s="3">
        <v>44821</v>
      </c>
      <c r="C79" s="1">
        <v>62</v>
      </c>
      <c r="D79" s="1">
        <v>205</v>
      </c>
      <c r="E79" s="1">
        <v>378</v>
      </c>
      <c r="F79" s="5">
        <f t="shared" si="4"/>
        <v>0.30243902439024389</v>
      </c>
      <c r="G79" s="5">
        <f t="shared" si="5"/>
        <v>0.16402116402116401</v>
      </c>
    </row>
    <row r="80" spans="1:7" x14ac:dyDescent="0.3">
      <c r="A80" s="1">
        <f t="shared" si="3"/>
        <v>37</v>
      </c>
      <c r="B80" s="3">
        <v>44822</v>
      </c>
      <c r="C80" s="1">
        <v>69</v>
      </c>
      <c r="D80" s="1">
        <v>205</v>
      </c>
      <c r="E80" s="1">
        <v>378</v>
      </c>
      <c r="F80" s="5">
        <f t="shared" si="4"/>
        <v>0.33658536585365856</v>
      </c>
      <c r="G80" s="5">
        <f t="shared" si="5"/>
        <v>0.18253968253968253</v>
      </c>
    </row>
    <row r="81" spans="1:7" x14ac:dyDescent="0.3">
      <c r="A81" s="1">
        <f t="shared" si="3"/>
        <v>38</v>
      </c>
      <c r="B81" s="3">
        <v>44823</v>
      </c>
      <c r="C81" s="1">
        <v>66</v>
      </c>
      <c r="D81" s="1">
        <v>213</v>
      </c>
      <c r="E81" s="1">
        <v>378</v>
      </c>
      <c r="F81" s="5">
        <f t="shared" si="4"/>
        <v>0.30985915492957744</v>
      </c>
      <c r="G81" s="5">
        <f t="shared" si="5"/>
        <v>0.17460317460317459</v>
      </c>
    </row>
    <row r="82" spans="1:7" x14ac:dyDescent="0.3">
      <c r="A82" s="1">
        <f t="shared" si="3"/>
        <v>38</v>
      </c>
      <c r="B82" s="3">
        <v>44824</v>
      </c>
      <c r="C82" s="1">
        <v>67</v>
      </c>
      <c r="D82" s="1">
        <v>213</v>
      </c>
      <c r="E82" s="1">
        <v>378</v>
      </c>
      <c r="F82" s="5">
        <f t="shared" si="4"/>
        <v>0.31455399061032863</v>
      </c>
      <c r="G82" s="5">
        <f t="shared" si="5"/>
        <v>0.17724867724867724</v>
      </c>
    </row>
    <row r="83" spans="1:7" x14ac:dyDescent="0.3">
      <c r="A83" s="1">
        <f t="shared" si="3"/>
        <v>38</v>
      </c>
      <c r="B83" s="3">
        <v>44825</v>
      </c>
      <c r="C83" s="1">
        <v>71</v>
      </c>
      <c r="D83" s="1">
        <v>213</v>
      </c>
      <c r="E83" s="1">
        <v>378</v>
      </c>
      <c r="F83" s="5">
        <f t="shared" si="4"/>
        <v>0.33333333333333331</v>
      </c>
      <c r="G83" s="5">
        <f t="shared" si="5"/>
        <v>0.18783068783068782</v>
      </c>
    </row>
    <row r="84" spans="1:7" x14ac:dyDescent="0.3">
      <c r="A84" s="1">
        <f t="shared" si="3"/>
        <v>38</v>
      </c>
      <c r="B84" s="3">
        <v>44826</v>
      </c>
      <c r="C84" s="1">
        <v>67</v>
      </c>
      <c r="D84" s="1">
        <v>213</v>
      </c>
      <c r="E84" s="1">
        <v>378</v>
      </c>
      <c r="F84" s="5">
        <f t="shared" si="4"/>
        <v>0.31455399061032863</v>
      </c>
      <c r="G84" s="5">
        <f t="shared" si="5"/>
        <v>0.17724867724867724</v>
      </c>
    </row>
    <row r="85" spans="1:7" x14ac:dyDescent="0.3">
      <c r="A85" s="1">
        <f t="shared" si="3"/>
        <v>38</v>
      </c>
      <c r="B85" s="3">
        <v>44827</v>
      </c>
      <c r="C85" s="1">
        <v>55</v>
      </c>
      <c r="D85" s="1">
        <v>213</v>
      </c>
      <c r="E85" s="1">
        <v>378</v>
      </c>
      <c r="F85" s="5">
        <f t="shared" si="4"/>
        <v>0.25821596244131456</v>
      </c>
      <c r="G85" s="5">
        <f t="shared" si="5"/>
        <v>0.14550264550264549</v>
      </c>
    </row>
    <row r="86" spans="1:7" x14ac:dyDescent="0.3">
      <c r="A86" s="1">
        <f t="shared" si="3"/>
        <v>38</v>
      </c>
      <c r="B86" s="3">
        <v>44828</v>
      </c>
      <c r="C86" s="1">
        <v>58</v>
      </c>
      <c r="D86" s="1">
        <v>213</v>
      </c>
      <c r="E86" s="1">
        <v>378</v>
      </c>
      <c r="F86" s="5">
        <f t="shared" si="4"/>
        <v>0.27230046948356806</v>
      </c>
      <c r="G86" s="5">
        <f t="shared" si="5"/>
        <v>0.15343915343915343</v>
      </c>
    </row>
    <row r="87" spans="1:7" x14ac:dyDescent="0.3">
      <c r="A87" s="1">
        <f t="shared" si="3"/>
        <v>38</v>
      </c>
      <c r="B87" s="3">
        <v>44829</v>
      </c>
      <c r="C87" s="1">
        <v>73</v>
      </c>
      <c r="D87" s="1">
        <v>213</v>
      </c>
      <c r="E87" s="1">
        <v>378</v>
      </c>
      <c r="F87" s="5">
        <f t="shared" si="4"/>
        <v>0.34272300469483569</v>
      </c>
      <c r="G87" s="5">
        <f t="shared" si="5"/>
        <v>0.19312169312169311</v>
      </c>
    </row>
    <row r="88" spans="1:7" x14ac:dyDescent="0.3">
      <c r="A88" s="1">
        <f t="shared" si="3"/>
        <v>39</v>
      </c>
      <c r="B88" s="3">
        <v>44830</v>
      </c>
      <c r="C88" s="1">
        <v>58</v>
      </c>
      <c r="D88" s="1">
        <v>208</v>
      </c>
      <c r="E88" s="1">
        <v>378</v>
      </c>
      <c r="F88" s="5">
        <f t="shared" si="4"/>
        <v>0.27884615384615385</v>
      </c>
      <c r="G88" s="5">
        <f t="shared" si="5"/>
        <v>0.15343915343915343</v>
      </c>
    </row>
    <row r="89" spans="1:7" x14ac:dyDescent="0.3">
      <c r="A89" s="1">
        <f t="shared" si="3"/>
        <v>39</v>
      </c>
      <c r="B89" s="3">
        <v>44831</v>
      </c>
      <c r="C89" s="1">
        <v>76</v>
      </c>
      <c r="D89" s="1">
        <v>208</v>
      </c>
      <c r="E89" s="1">
        <v>378</v>
      </c>
      <c r="F89" s="5">
        <f t="shared" si="4"/>
        <v>0.36538461538461536</v>
      </c>
      <c r="G89" s="5">
        <f t="shared" si="5"/>
        <v>0.20105820105820105</v>
      </c>
    </row>
    <row r="90" spans="1:7" x14ac:dyDescent="0.3">
      <c r="A90" s="1">
        <f t="shared" si="3"/>
        <v>39</v>
      </c>
      <c r="B90" s="3">
        <v>44832</v>
      </c>
      <c r="C90" s="1">
        <v>62</v>
      </c>
      <c r="D90" s="1">
        <v>208</v>
      </c>
      <c r="E90" s="1">
        <v>378</v>
      </c>
      <c r="F90" s="5">
        <f t="shared" si="4"/>
        <v>0.29807692307692307</v>
      </c>
      <c r="G90" s="5">
        <f t="shared" si="5"/>
        <v>0.16402116402116401</v>
      </c>
    </row>
    <row r="91" spans="1:7" x14ac:dyDescent="0.3">
      <c r="A91" s="1">
        <f t="shared" si="3"/>
        <v>39</v>
      </c>
      <c r="B91" s="3">
        <v>44833</v>
      </c>
      <c r="C91" s="1">
        <v>66</v>
      </c>
      <c r="D91" s="1">
        <v>208</v>
      </c>
      <c r="E91" s="1">
        <v>378</v>
      </c>
      <c r="F91" s="5">
        <f t="shared" si="4"/>
        <v>0.31730769230769229</v>
      </c>
      <c r="G91" s="5">
        <f t="shared" si="5"/>
        <v>0.17460317460317459</v>
      </c>
    </row>
    <row r="92" spans="1:7" x14ac:dyDescent="0.3">
      <c r="A92" s="1">
        <f t="shared" si="3"/>
        <v>39</v>
      </c>
      <c r="B92" s="3">
        <v>44834</v>
      </c>
      <c r="C92" s="1">
        <v>59</v>
      </c>
      <c r="D92" s="1">
        <v>208</v>
      </c>
      <c r="E92" s="1">
        <v>378</v>
      </c>
      <c r="F92" s="5">
        <f t="shared" si="4"/>
        <v>0.28365384615384615</v>
      </c>
      <c r="G92" s="5">
        <f t="shared" si="5"/>
        <v>0.15608465608465608</v>
      </c>
    </row>
    <row r="93" spans="1:7" x14ac:dyDescent="0.3">
      <c r="A93" s="1">
        <f t="shared" si="3"/>
        <v>39</v>
      </c>
      <c r="B93" s="3">
        <v>44835</v>
      </c>
      <c r="C93" s="1">
        <v>61</v>
      </c>
      <c r="D93" s="1">
        <v>208</v>
      </c>
      <c r="E93" s="1">
        <v>393</v>
      </c>
      <c r="F93" s="5">
        <f t="shared" si="4"/>
        <v>0.29326923076923078</v>
      </c>
      <c r="G93" s="5">
        <f t="shared" si="5"/>
        <v>0.15521628498727735</v>
      </c>
    </row>
    <row r="94" spans="1:7" x14ac:dyDescent="0.3">
      <c r="A94" s="1">
        <f t="shared" si="3"/>
        <v>39</v>
      </c>
      <c r="B94" s="3">
        <v>44836</v>
      </c>
      <c r="C94" s="1">
        <v>52</v>
      </c>
      <c r="D94" s="1">
        <v>208</v>
      </c>
      <c r="E94" s="1">
        <v>393</v>
      </c>
      <c r="F94" s="5">
        <f t="shared" si="4"/>
        <v>0.25</v>
      </c>
      <c r="G94" s="5">
        <f t="shared" si="5"/>
        <v>0.13231552162849872</v>
      </c>
    </row>
    <row r="95" spans="1:7" x14ac:dyDescent="0.3">
      <c r="A95" s="1">
        <f t="shared" si="3"/>
        <v>40</v>
      </c>
      <c r="B95" s="3">
        <v>44837</v>
      </c>
      <c r="C95" s="1">
        <v>69</v>
      </c>
      <c r="D95" s="1">
        <v>207</v>
      </c>
      <c r="E95" s="1">
        <v>393</v>
      </c>
      <c r="F95" s="5">
        <f t="shared" si="4"/>
        <v>0.33333333333333331</v>
      </c>
      <c r="G95" s="5">
        <f t="shared" si="5"/>
        <v>0.17557251908396945</v>
      </c>
    </row>
    <row r="96" spans="1:7" x14ac:dyDescent="0.3">
      <c r="A96" s="1">
        <f t="shared" si="3"/>
        <v>40</v>
      </c>
      <c r="B96" s="3">
        <v>44838</v>
      </c>
      <c r="C96" s="1">
        <v>70</v>
      </c>
      <c r="D96" s="1">
        <v>207</v>
      </c>
      <c r="E96" s="1">
        <v>393</v>
      </c>
      <c r="F96" s="5">
        <f t="shared" si="4"/>
        <v>0.33816425120772947</v>
      </c>
      <c r="G96" s="5">
        <f t="shared" si="5"/>
        <v>0.17811704834605599</v>
      </c>
    </row>
    <row r="97" spans="1:7" x14ac:dyDescent="0.3">
      <c r="A97" s="1">
        <f t="shared" si="3"/>
        <v>40</v>
      </c>
      <c r="B97" s="3">
        <v>44839</v>
      </c>
      <c r="C97" s="1">
        <v>45</v>
      </c>
      <c r="D97" s="1">
        <v>207</v>
      </c>
      <c r="E97" s="1">
        <v>393</v>
      </c>
      <c r="F97" s="5">
        <f t="shared" si="4"/>
        <v>0.21739130434782608</v>
      </c>
      <c r="G97" s="5">
        <f t="shared" si="5"/>
        <v>0.11450381679389313</v>
      </c>
    </row>
    <row r="98" spans="1:7" x14ac:dyDescent="0.3">
      <c r="A98" s="1">
        <f t="shared" si="3"/>
        <v>40</v>
      </c>
      <c r="B98" s="3">
        <v>44840</v>
      </c>
      <c r="C98" s="1">
        <v>77</v>
      </c>
      <c r="D98" s="1">
        <v>207</v>
      </c>
      <c r="E98" s="1">
        <v>393</v>
      </c>
      <c r="F98" s="5">
        <f t="shared" si="4"/>
        <v>0.3719806763285024</v>
      </c>
      <c r="G98" s="5">
        <f t="shared" si="5"/>
        <v>0.19592875318066158</v>
      </c>
    </row>
    <row r="99" spans="1:7" x14ac:dyDescent="0.3">
      <c r="A99" s="1">
        <f t="shared" si="3"/>
        <v>40</v>
      </c>
      <c r="B99" s="3">
        <v>44841</v>
      </c>
      <c r="C99" s="1">
        <v>61</v>
      </c>
      <c r="D99" s="1">
        <v>207</v>
      </c>
      <c r="E99" s="1">
        <v>393</v>
      </c>
      <c r="F99" s="5">
        <f t="shared" si="4"/>
        <v>0.29468599033816423</v>
      </c>
      <c r="G99" s="5">
        <f t="shared" si="5"/>
        <v>0.15521628498727735</v>
      </c>
    </row>
    <row r="100" spans="1:7" x14ac:dyDescent="0.3">
      <c r="A100" s="1">
        <f t="shared" si="3"/>
        <v>40</v>
      </c>
      <c r="B100" s="3">
        <v>44842</v>
      </c>
      <c r="C100" s="1">
        <v>56</v>
      </c>
      <c r="D100" s="1">
        <v>207</v>
      </c>
      <c r="E100" s="1">
        <v>393</v>
      </c>
      <c r="F100" s="5">
        <f t="shared" si="4"/>
        <v>0.27053140096618356</v>
      </c>
      <c r="G100" s="5">
        <f t="shared" si="5"/>
        <v>0.14249363867684478</v>
      </c>
    </row>
    <row r="101" spans="1:7" x14ac:dyDescent="0.3">
      <c r="A101" s="1">
        <f t="shared" si="3"/>
        <v>40</v>
      </c>
      <c r="B101" s="3">
        <v>44843</v>
      </c>
      <c r="C101" s="1">
        <v>66</v>
      </c>
      <c r="D101" s="1">
        <v>207</v>
      </c>
      <c r="E101" s="1">
        <v>393</v>
      </c>
      <c r="F101" s="5">
        <f t="shared" si="4"/>
        <v>0.3188405797101449</v>
      </c>
      <c r="G101" s="5">
        <f t="shared" si="5"/>
        <v>0.16793893129770993</v>
      </c>
    </row>
    <row r="102" spans="1:7" x14ac:dyDescent="0.3">
      <c r="A102" s="1">
        <f t="shared" si="3"/>
        <v>41</v>
      </c>
      <c r="B102" s="3">
        <v>44844</v>
      </c>
      <c r="C102" s="1">
        <v>51</v>
      </c>
      <c r="D102" s="1">
        <v>204</v>
      </c>
      <c r="E102" s="1">
        <v>393</v>
      </c>
      <c r="F102" s="5">
        <f t="shared" si="4"/>
        <v>0.25</v>
      </c>
      <c r="G102" s="5">
        <f t="shared" si="5"/>
        <v>0.12977099236641221</v>
      </c>
    </row>
    <row r="103" spans="1:7" x14ac:dyDescent="0.3">
      <c r="A103" s="1">
        <f t="shared" si="3"/>
        <v>41</v>
      </c>
      <c r="B103" s="3">
        <v>44845</v>
      </c>
      <c r="C103" s="1">
        <v>59</v>
      </c>
      <c r="D103" s="1">
        <v>204</v>
      </c>
      <c r="E103" s="1">
        <v>393</v>
      </c>
      <c r="F103" s="5">
        <f t="shared" si="4"/>
        <v>0.28921568627450983</v>
      </c>
      <c r="G103" s="5">
        <f t="shared" si="5"/>
        <v>0.15012722646310434</v>
      </c>
    </row>
    <row r="104" spans="1:7" x14ac:dyDescent="0.3">
      <c r="A104" s="1">
        <f t="shared" si="3"/>
        <v>41</v>
      </c>
      <c r="B104" s="3">
        <v>44846</v>
      </c>
      <c r="C104" s="1">
        <v>65</v>
      </c>
      <c r="D104" s="1">
        <v>204</v>
      </c>
      <c r="E104" s="1">
        <v>393</v>
      </c>
      <c r="F104" s="5">
        <f t="shared" si="4"/>
        <v>0.31862745098039214</v>
      </c>
      <c r="G104" s="5">
        <f t="shared" si="5"/>
        <v>0.16539440203562342</v>
      </c>
    </row>
    <row r="105" spans="1:7" x14ac:dyDescent="0.3">
      <c r="A105" s="1">
        <f t="shared" si="3"/>
        <v>41</v>
      </c>
      <c r="B105" s="3">
        <v>44847</v>
      </c>
      <c r="C105" s="1">
        <v>53</v>
      </c>
      <c r="D105" s="1">
        <v>204</v>
      </c>
      <c r="E105" s="1">
        <v>393</v>
      </c>
      <c r="F105" s="5">
        <f t="shared" si="4"/>
        <v>0.25980392156862747</v>
      </c>
      <c r="G105" s="5">
        <f t="shared" si="5"/>
        <v>0.13486005089058525</v>
      </c>
    </row>
    <row r="106" spans="1:7" x14ac:dyDescent="0.3">
      <c r="A106" s="1">
        <f t="shared" si="3"/>
        <v>41</v>
      </c>
      <c r="B106" s="3">
        <v>44848</v>
      </c>
      <c r="C106" s="1">
        <v>72</v>
      </c>
      <c r="D106" s="1">
        <v>204</v>
      </c>
      <c r="E106" s="1">
        <v>393</v>
      </c>
      <c r="F106" s="5">
        <f t="shared" si="4"/>
        <v>0.35294117647058826</v>
      </c>
      <c r="G106" s="5">
        <f t="shared" si="5"/>
        <v>0.18320610687022901</v>
      </c>
    </row>
    <row r="107" spans="1:7" x14ac:dyDescent="0.3">
      <c r="A107" s="1">
        <f t="shared" si="3"/>
        <v>41</v>
      </c>
      <c r="B107" s="3">
        <v>44849</v>
      </c>
      <c r="C107" s="1">
        <v>62</v>
      </c>
      <c r="D107" s="1">
        <v>204</v>
      </c>
      <c r="E107" s="1">
        <v>393</v>
      </c>
      <c r="F107" s="5">
        <f t="shared" si="4"/>
        <v>0.30392156862745096</v>
      </c>
      <c r="G107" s="5">
        <f t="shared" si="5"/>
        <v>0.15776081424936386</v>
      </c>
    </row>
    <row r="108" spans="1:7" x14ac:dyDescent="0.3">
      <c r="A108" s="1">
        <f t="shared" si="3"/>
        <v>41</v>
      </c>
      <c r="B108" s="3">
        <v>44850</v>
      </c>
      <c r="C108" s="1">
        <v>62</v>
      </c>
      <c r="D108" s="1">
        <v>204</v>
      </c>
      <c r="E108" s="1">
        <v>393</v>
      </c>
      <c r="F108" s="5">
        <f t="shared" si="4"/>
        <v>0.30392156862745096</v>
      </c>
      <c r="G108" s="5">
        <f t="shared" si="5"/>
        <v>0.15776081424936386</v>
      </c>
    </row>
    <row r="109" spans="1:7" x14ac:dyDescent="0.3">
      <c r="A109" s="1">
        <f t="shared" si="3"/>
        <v>42</v>
      </c>
      <c r="B109" s="3">
        <v>44851</v>
      </c>
      <c r="C109" s="1">
        <v>70</v>
      </c>
      <c r="D109" s="1">
        <v>201</v>
      </c>
      <c r="E109" s="1">
        <v>393</v>
      </c>
      <c r="F109" s="5">
        <f t="shared" si="4"/>
        <v>0.34825870646766172</v>
      </c>
      <c r="G109" s="5">
        <f t="shared" si="5"/>
        <v>0.17811704834605599</v>
      </c>
    </row>
    <row r="110" spans="1:7" x14ac:dyDescent="0.3">
      <c r="A110" s="1">
        <f t="shared" si="3"/>
        <v>42</v>
      </c>
      <c r="B110" s="3">
        <v>44852</v>
      </c>
      <c r="C110" s="1">
        <v>62</v>
      </c>
      <c r="D110" s="1">
        <v>201</v>
      </c>
      <c r="E110" s="1">
        <v>393</v>
      </c>
      <c r="F110" s="5">
        <f t="shared" si="4"/>
        <v>0.30845771144278605</v>
      </c>
      <c r="G110" s="5">
        <f t="shared" si="5"/>
        <v>0.15776081424936386</v>
      </c>
    </row>
    <row r="111" spans="1:7" x14ac:dyDescent="0.3">
      <c r="A111" s="1">
        <f t="shared" si="3"/>
        <v>42</v>
      </c>
      <c r="B111" s="3">
        <v>44853</v>
      </c>
      <c r="C111" s="1">
        <v>82</v>
      </c>
      <c r="D111" s="1">
        <v>201</v>
      </c>
      <c r="E111" s="1">
        <v>393</v>
      </c>
      <c r="F111" s="5">
        <f t="shared" si="4"/>
        <v>0.4079601990049751</v>
      </c>
      <c r="G111" s="5">
        <f t="shared" si="5"/>
        <v>0.20865139949109415</v>
      </c>
    </row>
    <row r="112" spans="1:7" x14ac:dyDescent="0.3">
      <c r="A112" s="1">
        <f t="shared" si="3"/>
        <v>42</v>
      </c>
      <c r="B112" s="3">
        <v>44854</v>
      </c>
      <c r="C112" s="1">
        <v>52</v>
      </c>
      <c r="D112" s="1">
        <v>201</v>
      </c>
      <c r="E112" s="1">
        <v>393</v>
      </c>
      <c r="F112" s="5">
        <f t="shared" si="4"/>
        <v>0.25870646766169153</v>
      </c>
      <c r="G112" s="5">
        <f t="shared" si="5"/>
        <v>0.13231552162849872</v>
      </c>
    </row>
    <row r="113" spans="1:7" x14ac:dyDescent="0.3">
      <c r="A113" s="1">
        <f t="shared" si="3"/>
        <v>42</v>
      </c>
      <c r="B113" s="3">
        <v>44855</v>
      </c>
      <c r="C113" s="1">
        <v>65</v>
      </c>
      <c r="D113" s="1">
        <v>201</v>
      </c>
      <c r="E113" s="1">
        <v>393</v>
      </c>
      <c r="F113" s="5">
        <f t="shared" si="4"/>
        <v>0.32338308457711445</v>
      </c>
      <c r="G113" s="5">
        <f t="shared" si="5"/>
        <v>0.16539440203562342</v>
      </c>
    </row>
    <row r="114" spans="1:7" x14ac:dyDescent="0.3">
      <c r="A114" s="1">
        <f t="shared" si="3"/>
        <v>42</v>
      </c>
      <c r="B114" s="3">
        <v>44856</v>
      </c>
      <c r="C114" s="1">
        <v>64</v>
      </c>
      <c r="D114" s="1">
        <v>201</v>
      </c>
      <c r="E114" s="1">
        <v>393</v>
      </c>
      <c r="F114" s="5">
        <f t="shared" si="4"/>
        <v>0.31840796019900497</v>
      </c>
      <c r="G114" s="5">
        <f t="shared" si="5"/>
        <v>0.16284987277353691</v>
      </c>
    </row>
    <row r="115" spans="1:7" x14ac:dyDescent="0.3">
      <c r="A115" s="1">
        <f t="shared" si="3"/>
        <v>42</v>
      </c>
      <c r="B115" s="3">
        <v>44857</v>
      </c>
      <c r="C115" s="1">
        <v>57</v>
      </c>
      <c r="D115" s="1">
        <v>201</v>
      </c>
      <c r="E115" s="1">
        <v>393</v>
      </c>
      <c r="F115" s="5">
        <f t="shared" si="4"/>
        <v>0.28358208955223879</v>
      </c>
      <c r="G115" s="5">
        <f t="shared" si="5"/>
        <v>0.14503816793893129</v>
      </c>
    </row>
    <row r="116" spans="1:7" x14ac:dyDescent="0.3">
      <c r="A116" s="1">
        <f t="shared" si="3"/>
        <v>43</v>
      </c>
      <c r="B116" s="3">
        <v>44858</v>
      </c>
      <c r="C116" s="1">
        <v>58</v>
      </c>
      <c r="D116" s="1">
        <v>213</v>
      </c>
      <c r="E116" s="1">
        <v>393</v>
      </c>
      <c r="F116" s="5">
        <f t="shared" si="4"/>
        <v>0.27230046948356806</v>
      </c>
      <c r="G116" s="5">
        <f t="shared" si="5"/>
        <v>0.1475826972010178</v>
      </c>
    </row>
    <row r="117" spans="1:7" x14ac:dyDescent="0.3">
      <c r="A117" s="1">
        <f t="shared" si="3"/>
        <v>43</v>
      </c>
      <c r="B117" s="3">
        <v>44859</v>
      </c>
      <c r="C117" s="1">
        <v>66</v>
      </c>
      <c r="D117" s="1">
        <v>213</v>
      </c>
      <c r="E117" s="1">
        <v>393</v>
      </c>
      <c r="F117" s="5">
        <f t="shared" si="4"/>
        <v>0.30985915492957744</v>
      </c>
      <c r="G117" s="5">
        <f t="shared" si="5"/>
        <v>0.16793893129770993</v>
      </c>
    </row>
    <row r="118" spans="1:7" x14ac:dyDescent="0.3">
      <c r="A118" s="1">
        <f t="shared" si="3"/>
        <v>43</v>
      </c>
      <c r="B118" s="3">
        <v>44860</v>
      </c>
      <c r="C118" s="1">
        <v>60</v>
      </c>
      <c r="D118" s="1">
        <v>213</v>
      </c>
      <c r="E118" s="1">
        <v>393</v>
      </c>
      <c r="F118" s="5">
        <f t="shared" si="4"/>
        <v>0.28169014084507044</v>
      </c>
      <c r="G118" s="5">
        <f t="shared" si="5"/>
        <v>0.15267175572519084</v>
      </c>
    </row>
    <row r="119" spans="1:7" x14ac:dyDescent="0.3">
      <c r="A119" s="1">
        <f t="shared" si="3"/>
        <v>43</v>
      </c>
      <c r="B119" s="3">
        <v>44861</v>
      </c>
      <c r="C119" s="1">
        <v>55</v>
      </c>
      <c r="D119" s="1">
        <v>213</v>
      </c>
      <c r="E119" s="1">
        <v>393</v>
      </c>
      <c r="F119" s="5">
        <f t="shared" si="4"/>
        <v>0.25821596244131456</v>
      </c>
      <c r="G119" s="5">
        <f t="shared" si="5"/>
        <v>0.13994910941475827</v>
      </c>
    </row>
    <row r="120" spans="1:7" x14ac:dyDescent="0.3">
      <c r="A120" s="1">
        <f t="shared" si="3"/>
        <v>43</v>
      </c>
      <c r="B120" s="3">
        <v>44862</v>
      </c>
      <c r="C120" s="1">
        <v>65</v>
      </c>
      <c r="D120" s="1">
        <v>213</v>
      </c>
      <c r="E120" s="1">
        <v>393</v>
      </c>
      <c r="F120" s="5">
        <f t="shared" si="4"/>
        <v>0.30516431924882631</v>
      </c>
      <c r="G120" s="5">
        <f t="shared" si="5"/>
        <v>0.16539440203562342</v>
      </c>
    </row>
    <row r="121" spans="1:7" x14ac:dyDescent="0.3">
      <c r="A121" s="1">
        <f t="shared" si="3"/>
        <v>43</v>
      </c>
      <c r="B121" s="3">
        <v>44863</v>
      </c>
      <c r="C121" s="1">
        <v>54</v>
      </c>
      <c r="D121" s="1">
        <v>213</v>
      </c>
      <c r="E121" s="1">
        <v>393</v>
      </c>
      <c r="F121" s="5">
        <f t="shared" si="4"/>
        <v>0.25352112676056338</v>
      </c>
      <c r="G121" s="5">
        <f t="shared" si="5"/>
        <v>0.13740458015267176</v>
      </c>
    </row>
    <row r="122" spans="1:7" x14ac:dyDescent="0.3">
      <c r="A122" s="1">
        <f t="shared" si="3"/>
        <v>43</v>
      </c>
      <c r="B122" s="3">
        <v>44864</v>
      </c>
      <c r="C122" s="1">
        <v>66</v>
      </c>
      <c r="D122" s="1">
        <v>213</v>
      </c>
      <c r="E122" s="1">
        <v>393</v>
      </c>
      <c r="F122" s="5">
        <f t="shared" si="4"/>
        <v>0.30985915492957744</v>
      </c>
      <c r="G122" s="5">
        <f t="shared" si="5"/>
        <v>0.16793893129770993</v>
      </c>
    </row>
    <row r="123" spans="1:7" x14ac:dyDescent="0.3">
      <c r="A123" s="1">
        <f t="shared" si="3"/>
        <v>44</v>
      </c>
      <c r="B123" s="3">
        <v>44865</v>
      </c>
      <c r="C123" s="1">
        <v>72</v>
      </c>
      <c r="D123" s="1">
        <v>214</v>
      </c>
      <c r="E123" s="1">
        <v>393</v>
      </c>
      <c r="F123" s="5">
        <f t="shared" si="4"/>
        <v>0.3364485981308411</v>
      </c>
      <c r="G123" s="5">
        <f t="shared" si="5"/>
        <v>0.18320610687022901</v>
      </c>
    </row>
    <row r="124" spans="1:7" x14ac:dyDescent="0.3">
      <c r="A124" s="1">
        <f t="shared" si="3"/>
        <v>44</v>
      </c>
      <c r="B124" s="3">
        <v>44866</v>
      </c>
      <c r="C124" s="1">
        <v>58</v>
      </c>
      <c r="D124" s="1">
        <v>214</v>
      </c>
      <c r="E124" s="1">
        <v>426</v>
      </c>
      <c r="F124" s="5">
        <f t="shared" si="4"/>
        <v>0.27102803738317754</v>
      </c>
      <c r="G124" s="5">
        <f t="shared" si="5"/>
        <v>0.13615023474178403</v>
      </c>
    </row>
    <row r="125" spans="1:7" x14ac:dyDescent="0.3">
      <c r="A125" s="1">
        <f t="shared" si="3"/>
        <v>44</v>
      </c>
      <c r="B125" s="3">
        <v>44867</v>
      </c>
      <c r="C125" s="1">
        <v>55</v>
      </c>
      <c r="D125" s="1">
        <v>214</v>
      </c>
      <c r="E125" s="1">
        <v>426</v>
      </c>
      <c r="F125" s="5">
        <f t="shared" si="4"/>
        <v>0.2570093457943925</v>
      </c>
      <c r="G125" s="5">
        <f t="shared" si="5"/>
        <v>0.12910798122065728</v>
      </c>
    </row>
    <row r="126" spans="1:7" x14ac:dyDescent="0.3">
      <c r="A126" s="1">
        <f t="shared" si="3"/>
        <v>44</v>
      </c>
      <c r="B126" s="3">
        <v>44868</v>
      </c>
      <c r="C126" s="1">
        <v>56</v>
      </c>
      <c r="D126" s="1">
        <v>214</v>
      </c>
      <c r="E126" s="1">
        <v>426</v>
      </c>
      <c r="F126" s="5">
        <f t="shared" si="4"/>
        <v>0.26168224299065418</v>
      </c>
      <c r="G126" s="5">
        <f t="shared" si="5"/>
        <v>0.13145539906103287</v>
      </c>
    </row>
    <row r="127" spans="1:7" x14ac:dyDescent="0.3">
      <c r="A127" s="1">
        <f t="shared" si="3"/>
        <v>44</v>
      </c>
      <c r="B127" s="3">
        <v>44869</v>
      </c>
      <c r="C127" s="1">
        <v>63</v>
      </c>
      <c r="D127" s="1">
        <v>214</v>
      </c>
      <c r="E127" s="1">
        <v>426</v>
      </c>
      <c r="F127" s="5">
        <f t="shared" si="4"/>
        <v>0.29439252336448596</v>
      </c>
      <c r="G127" s="5">
        <f t="shared" si="5"/>
        <v>0.14788732394366197</v>
      </c>
    </row>
    <row r="128" spans="1:7" x14ac:dyDescent="0.3">
      <c r="A128" s="1">
        <f t="shared" si="3"/>
        <v>44</v>
      </c>
      <c r="B128" s="3">
        <v>44870</v>
      </c>
      <c r="C128" s="1">
        <v>69</v>
      </c>
      <c r="D128" s="1">
        <v>214</v>
      </c>
      <c r="E128" s="1">
        <v>426</v>
      </c>
      <c r="F128" s="5">
        <f t="shared" si="4"/>
        <v>0.32242990654205606</v>
      </c>
      <c r="G128" s="5">
        <f t="shared" si="5"/>
        <v>0.1619718309859155</v>
      </c>
    </row>
    <row r="129" spans="1:7" x14ac:dyDescent="0.3">
      <c r="A129" s="1">
        <f t="shared" si="3"/>
        <v>44</v>
      </c>
      <c r="B129" s="3">
        <v>44871</v>
      </c>
      <c r="C129" s="1">
        <v>62</v>
      </c>
      <c r="D129" s="1">
        <v>214</v>
      </c>
      <c r="E129" s="1">
        <v>426</v>
      </c>
      <c r="F129" s="5">
        <f t="shared" si="4"/>
        <v>0.28971962616822428</v>
      </c>
      <c r="G129" s="5">
        <f t="shared" si="5"/>
        <v>0.14553990610328638</v>
      </c>
    </row>
    <row r="130" spans="1:7" x14ac:dyDescent="0.3">
      <c r="A130" s="1">
        <f t="shared" si="3"/>
        <v>45</v>
      </c>
      <c r="B130" s="3">
        <v>44872</v>
      </c>
      <c r="C130" s="1">
        <v>60</v>
      </c>
      <c r="D130" s="1">
        <v>203</v>
      </c>
      <c r="E130" s="1">
        <v>426</v>
      </c>
      <c r="F130" s="5">
        <f t="shared" si="4"/>
        <v>0.29556650246305421</v>
      </c>
      <c r="G130" s="5">
        <f t="shared" si="5"/>
        <v>0.14084507042253522</v>
      </c>
    </row>
    <row r="131" spans="1:7" x14ac:dyDescent="0.3">
      <c r="A131" s="1">
        <f t="shared" ref="A131:A194" si="6">_xlfn.ISOWEEKNUM(B131)</f>
        <v>45</v>
      </c>
      <c r="B131" s="3">
        <v>44873</v>
      </c>
      <c r="C131" s="1">
        <v>60</v>
      </c>
      <c r="D131" s="1">
        <v>203</v>
      </c>
      <c r="E131" s="1">
        <v>426</v>
      </c>
      <c r="F131" s="5">
        <f t="shared" ref="F131:F194" si="7">C131/D131</f>
        <v>0.29556650246305421</v>
      </c>
      <c r="G131" s="5">
        <f t="shared" ref="G131:G194" si="8">C131/E131</f>
        <v>0.14084507042253522</v>
      </c>
    </row>
    <row r="132" spans="1:7" x14ac:dyDescent="0.3">
      <c r="A132" s="1">
        <f t="shared" si="6"/>
        <v>45</v>
      </c>
      <c r="B132" s="3">
        <v>44874</v>
      </c>
      <c r="C132" s="1">
        <v>60</v>
      </c>
      <c r="D132" s="1">
        <v>203</v>
      </c>
      <c r="E132" s="1">
        <v>426</v>
      </c>
      <c r="F132" s="5">
        <f t="shared" si="7"/>
        <v>0.29556650246305421</v>
      </c>
      <c r="G132" s="5">
        <f t="shared" si="8"/>
        <v>0.14084507042253522</v>
      </c>
    </row>
    <row r="133" spans="1:7" x14ac:dyDescent="0.3">
      <c r="A133" s="1">
        <f t="shared" si="6"/>
        <v>45</v>
      </c>
      <c r="B133" s="3">
        <v>44875</v>
      </c>
      <c r="C133" s="1">
        <v>55</v>
      </c>
      <c r="D133" s="1">
        <v>203</v>
      </c>
      <c r="E133" s="1">
        <v>426</v>
      </c>
      <c r="F133" s="5">
        <f t="shared" si="7"/>
        <v>0.27093596059113301</v>
      </c>
      <c r="G133" s="5">
        <f t="shared" si="8"/>
        <v>0.12910798122065728</v>
      </c>
    </row>
    <row r="134" spans="1:7" x14ac:dyDescent="0.3">
      <c r="A134" s="1">
        <f t="shared" si="6"/>
        <v>45</v>
      </c>
      <c r="B134" s="3">
        <v>44876</v>
      </c>
      <c r="C134" s="1">
        <v>62</v>
      </c>
      <c r="D134" s="1">
        <v>203</v>
      </c>
      <c r="E134" s="1">
        <v>426</v>
      </c>
      <c r="F134" s="5">
        <f t="shared" si="7"/>
        <v>0.30541871921182268</v>
      </c>
      <c r="G134" s="5">
        <f t="shared" si="8"/>
        <v>0.14553990610328638</v>
      </c>
    </row>
    <row r="135" spans="1:7" x14ac:dyDescent="0.3">
      <c r="A135" s="1">
        <f t="shared" si="6"/>
        <v>45</v>
      </c>
      <c r="B135" s="3">
        <v>44877</v>
      </c>
      <c r="C135" s="1">
        <v>53</v>
      </c>
      <c r="D135" s="1">
        <v>203</v>
      </c>
      <c r="E135" s="1">
        <v>426</v>
      </c>
      <c r="F135" s="5">
        <f t="shared" si="7"/>
        <v>0.26108374384236455</v>
      </c>
      <c r="G135" s="5">
        <f t="shared" si="8"/>
        <v>0.12441314553990611</v>
      </c>
    </row>
    <row r="136" spans="1:7" x14ac:dyDescent="0.3">
      <c r="A136" s="1">
        <f t="shared" si="6"/>
        <v>45</v>
      </c>
      <c r="B136" s="3">
        <v>44878</v>
      </c>
      <c r="C136" s="1">
        <v>54</v>
      </c>
      <c r="D136" s="1">
        <v>203</v>
      </c>
      <c r="E136" s="1">
        <v>426</v>
      </c>
      <c r="F136" s="5">
        <f t="shared" si="7"/>
        <v>0.26600985221674878</v>
      </c>
      <c r="G136" s="5">
        <f t="shared" si="8"/>
        <v>0.12676056338028169</v>
      </c>
    </row>
    <row r="137" spans="1:7" x14ac:dyDescent="0.3">
      <c r="A137" s="1">
        <f t="shared" si="6"/>
        <v>46</v>
      </c>
      <c r="B137" s="3">
        <v>44879</v>
      </c>
      <c r="C137" s="1">
        <v>46</v>
      </c>
      <c r="D137" s="1">
        <v>202</v>
      </c>
      <c r="E137" s="1">
        <v>426</v>
      </c>
      <c r="F137" s="5">
        <f t="shared" si="7"/>
        <v>0.22772277227722773</v>
      </c>
      <c r="G137" s="5">
        <f t="shared" si="8"/>
        <v>0.107981220657277</v>
      </c>
    </row>
    <row r="138" spans="1:7" x14ac:dyDescent="0.3">
      <c r="A138" s="1">
        <f t="shared" si="6"/>
        <v>46</v>
      </c>
      <c r="B138" s="3">
        <v>44880</v>
      </c>
      <c r="C138" s="1">
        <v>55</v>
      </c>
      <c r="D138" s="1">
        <v>202</v>
      </c>
      <c r="E138" s="1">
        <v>426</v>
      </c>
      <c r="F138" s="5">
        <f t="shared" si="7"/>
        <v>0.2722772277227723</v>
      </c>
      <c r="G138" s="5">
        <f t="shared" si="8"/>
        <v>0.12910798122065728</v>
      </c>
    </row>
    <row r="139" spans="1:7" x14ac:dyDescent="0.3">
      <c r="A139" s="1">
        <f t="shared" si="6"/>
        <v>46</v>
      </c>
      <c r="B139" s="3">
        <v>44881</v>
      </c>
      <c r="C139" s="1">
        <v>51</v>
      </c>
      <c r="D139" s="1">
        <v>202</v>
      </c>
      <c r="E139" s="1">
        <v>426</v>
      </c>
      <c r="F139" s="5">
        <f t="shared" si="7"/>
        <v>0.25247524752475248</v>
      </c>
      <c r="G139" s="5">
        <f t="shared" si="8"/>
        <v>0.11971830985915492</v>
      </c>
    </row>
    <row r="140" spans="1:7" x14ac:dyDescent="0.3">
      <c r="A140" s="1">
        <f t="shared" si="6"/>
        <v>46</v>
      </c>
      <c r="B140" s="3">
        <v>44882</v>
      </c>
      <c r="C140" s="1">
        <v>58</v>
      </c>
      <c r="D140" s="1">
        <v>202</v>
      </c>
      <c r="E140" s="1">
        <v>426</v>
      </c>
      <c r="F140" s="5">
        <f t="shared" si="7"/>
        <v>0.28712871287128711</v>
      </c>
      <c r="G140" s="5">
        <f t="shared" si="8"/>
        <v>0.13615023474178403</v>
      </c>
    </row>
    <row r="141" spans="1:7" x14ac:dyDescent="0.3">
      <c r="A141" s="1">
        <f t="shared" si="6"/>
        <v>46</v>
      </c>
      <c r="B141" s="3">
        <v>44883</v>
      </c>
      <c r="C141" s="1">
        <v>51</v>
      </c>
      <c r="D141" s="1">
        <v>202</v>
      </c>
      <c r="E141" s="1">
        <v>426</v>
      </c>
      <c r="F141" s="5">
        <f t="shared" si="7"/>
        <v>0.25247524752475248</v>
      </c>
      <c r="G141" s="5">
        <f t="shared" si="8"/>
        <v>0.11971830985915492</v>
      </c>
    </row>
    <row r="142" spans="1:7" x14ac:dyDescent="0.3">
      <c r="A142" s="1">
        <f t="shared" si="6"/>
        <v>46</v>
      </c>
      <c r="B142" s="3">
        <v>44884</v>
      </c>
      <c r="C142" s="1">
        <v>40</v>
      </c>
      <c r="D142" s="1">
        <v>202</v>
      </c>
      <c r="E142" s="1">
        <v>426</v>
      </c>
      <c r="F142" s="5">
        <f t="shared" si="7"/>
        <v>0.19801980198019803</v>
      </c>
      <c r="G142" s="5">
        <f t="shared" si="8"/>
        <v>9.3896713615023469E-2</v>
      </c>
    </row>
    <row r="143" spans="1:7" x14ac:dyDescent="0.3">
      <c r="A143" s="1">
        <f t="shared" si="6"/>
        <v>46</v>
      </c>
      <c r="B143" s="3">
        <v>44885</v>
      </c>
      <c r="C143" s="1">
        <v>50</v>
      </c>
      <c r="D143" s="1">
        <v>202</v>
      </c>
      <c r="E143" s="1">
        <v>426</v>
      </c>
      <c r="F143" s="5">
        <f t="shared" si="7"/>
        <v>0.24752475247524752</v>
      </c>
      <c r="G143" s="5">
        <f t="shared" si="8"/>
        <v>0.11737089201877934</v>
      </c>
    </row>
    <row r="144" spans="1:7" x14ac:dyDescent="0.3">
      <c r="A144" s="1">
        <f t="shared" si="6"/>
        <v>47</v>
      </c>
      <c r="B144" s="3">
        <v>44886</v>
      </c>
      <c r="C144" s="1">
        <v>34</v>
      </c>
      <c r="D144" s="1">
        <v>167</v>
      </c>
      <c r="E144" s="1">
        <v>426</v>
      </c>
      <c r="F144" s="5">
        <f t="shared" si="7"/>
        <v>0.20359281437125748</v>
      </c>
      <c r="G144" s="5">
        <f t="shared" si="8"/>
        <v>7.9812206572769953E-2</v>
      </c>
    </row>
    <row r="145" spans="1:7" x14ac:dyDescent="0.3">
      <c r="A145" s="1">
        <f t="shared" si="6"/>
        <v>47</v>
      </c>
      <c r="B145" s="3">
        <v>44887</v>
      </c>
      <c r="C145" s="1">
        <v>41</v>
      </c>
      <c r="D145" s="1">
        <v>167</v>
      </c>
      <c r="E145" s="1">
        <v>426</v>
      </c>
      <c r="F145" s="5">
        <f t="shared" si="7"/>
        <v>0.24550898203592814</v>
      </c>
      <c r="G145" s="5">
        <f t="shared" si="8"/>
        <v>9.6244131455399062E-2</v>
      </c>
    </row>
    <row r="146" spans="1:7" x14ac:dyDescent="0.3">
      <c r="A146" s="1">
        <f t="shared" si="6"/>
        <v>47</v>
      </c>
      <c r="B146" s="3">
        <v>44888</v>
      </c>
      <c r="C146" s="1">
        <v>39</v>
      </c>
      <c r="D146" s="1">
        <v>167</v>
      </c>
      <c r="E146" s="1">
        <v>426</v>
      </c>
      <c r="F146" s="5">
        <f t="shared" si="7"/>
        <v>0.23353293413173654</v>
      </c>
      <c r="G146" s="5">
        <f t="shared" si="8"/>
        <v>9.154929577464789E-2</v>
      </c>
    </row>
    <row r="147" spans="1:7" x14ac:dyDescent="0.3">
      <c r="A147" s="1">
        <f t="shared" si="6"/>
        <v>47</v>
      </c>
      <c r="B147" s="3">
        <v>44889</v>
      </c>
      <c r="C147" s="1">
        <v>32</v>
      </c>
      <c r="D147" s="1">
        <v>167</v>
      </c>
      <c r="E147" s="1">
        <v>426</v>
      </c>
      <c r="F147" s="5">
        <f t="shared" si="7"/>
        <v>0.19161676646706588</v>
      </c>
      <c r="G147" s="5">
        <f t="shared" si="8"/>
        <v>7.5117370892018781E-2</v>
      </c>
    </row>
    <row r="148" spans="1:7" x14ac:dyDescent="0.3">
      <c r="A148" s="1">
        <f t="shared" si="6"/>
        <v>47</v>
      </c>
      <c r="B148" s="3">
        <v>44890</v>
      </c>
      <c r="C148" s="1">
        <v>32</v>
      </c>
      <c r="D148" s="1">
        <v>167</v>
      </c>
      <c r="E148" s="1">
        <v>426</v>
      </c>
      <c r="F148" s="5">
        <f t="shared" si="7"/>
        <v>0.19161676646706588</v>
      </c>
      <c r="G148" s="5">
        <f t="shared" si="8"/>
        <v>7.5117370892018781E-2</v>
      </c>
    </row>
    <row r="149" spans="1:7" x14ac:dyDescent="0.3">
      <c r="A149" s="1">
        <f t="shared" si="6"/>
        <v>47</v>
      </c>
      <c r="B149" s="3">
        <v>44891</v>
      </c>
      <c r="C149" s="1">
        <v>31</v>
      </c>
      <c r="D149" s="1">
        <v>167</v>
      </c>
      <c r="E149" s="1">
        <v>426</v>
      </c>
      <c r="F149" s="5">
        <f t="shared" si="7"/>
        <v>0.18562874251497005</v>
      </c>
      <c r="G149" s="5">
        <f t="shared" si="8"/>
        <v>7.2769953051643188E-2</v>
      </c>
    </row>
    <row r="150" spans="1:7" x14ac:dyDescent="0.3">
      <c r="A150" s="1">
        <f t="shared" si="6"/>
        <v>47</v>
      </c>
      <c r="B150" s="3">
        <v>44892</v>
      </c>
      <c r="C150" s="1">
        <v>35</v>
      </c>
      <c r="D150" s="1">
        <v>167</v>
      </c>
      <c r="E150" s="1">
        <v>426</v>
      </c>
      <c r="F150" s="5">
        <f t="shared" si="7"/>
        <v>0.20958083832335328</v>
      </c>
      <c r="G150" s="5">
        <f t="shared" si="8"/>
        <v>8.2159624413145546E-2</v>
      </c>
    </row>
    <row r="151" spans="1:7" x14ac:dyDescent="0.3">
      <c r="A151" s="1">
        <f t="shared" si="6"/>
        <v>48</v>
      </c>
      <c r="B151" s="3">
        <v>44893</v>
      </c>
      <c r="C151" s="1">
        <v>32</v>
      </c>
      <c r="D151" s="1">
        <v>157</v>
      </c>
      <c r="E151" s="1">
        <v>426</v>
      </c>
      <c r="F151" s="5">
        <f t="shared" si="7"/>
        <v>0.20382165605095542</v>
      </c>
      <c r="G151" s="5">
        <f t="shared" si="8"/>
        <v>7.5117370892018781E-2</v>
      </c>
    </row>
    <row r="152" spans="1:7" x14ac:dyDescent="0.3">
      <c r="A152" s="1">
        <f t="shared" si="6"/>
        <v>48</v>
      </c>
      <c r="B152" s="3">
        <v>44894</v>
      </c>
      <c r="C152" s="1">
        <v>23</v>
      </c>
      <c r="D152" s="1">
        <v>157</v>
      </c>
      <c r="E152" s="1">
        <v>426</v>
      </c>
      <c r="F152" s="5">
        <f t="shared" si="7"/>
        <v>0.1464968152866242</v>
      </c>
      <c r="G152" s="5">
        <f t="shared" si="8"/>
        <v>5.39906103286385E-2</v>
      </c>
    </row>
    <row r="153" spans="1:7" x14ac:dyDescent="0.3">
      <c r="A153" s="1">
        <f t="shared" si="6"/>
        <v>48</v>
      </c>
      <c r="B153" s="3">
        <v>44895</v>
      </c>
      <c r="C153" s="1">
        <v>35</v>
      </c>
      <c r="D153" s="1">
        <v>157</v>
      </c>
      <c r="E153" s="1">
        <v>426</v>
      </c>
      <c r="F153" s="5">
        <f t="shared" si="7"/>
        <v>0.22292993630573249</v>
      </c>
      <c r="G153" s="5">
        <f t="shared" si="8"/>
        <v>8.2159624413145546E-2</v>
      </c>
    </row>
    <row r="154" spans="1:7" x14ac:dyDescent="0.3">
      <c r="A154" s="1">
        <f t="shared" si="6"/>
        <v>48</v>
      </c>
      <c r="B154" s="3">
        <v>44896</v>
      </c>
      <c r="C154" s="1">
        <v>32</v>
      </c>
      <c r="D154" s="1">
        <v>157</v>
      </c>
      <c r="E154" s="1">
        <v>390</v>
      </c>
      <c r="F154" s="5">
        <f t="shared" si="7"/>
        <v>0.20382165605095542</v>
      </c>
      <c r="G154" s="5">
        <f t="shared" si="8"/>
        <v>8.2051282051282051E-2</v>
      </c>
    </row>
    <row r="155" spans="1:7" x14ac:dyDescent="0.3">
      <c r="A155" s="1">
        <f t="shared" si="6"/>
        <v>48</v>
      </c>
      <c r="B155" s="3">
        <v>44897</v>
      </c>
      <c r="C155" s="1">
        <v>25</v>
      </c>
      <c r="D155" s="1">
        <v>157</v>
      </c>
      <c r="E155" s="1">
        <v>390</v>
      </c>
      <c r="F155" s="5">
        <f t="shared" si="7"/>
        <v>0.15923566878980891</v>
      </c>
      <c r="G155" s="5">
        <f t="shared" si="8"/>
        <v>6.4102564102564097E-2</v>
      </c>
    </row>
    <row r="156" spans="1:7" x14ac:dyDescent="0.3">
      <c r="A156" s="1">
        <f t="shared" si="6"/>
        <v>48</v>
      </c>
      <c r="B156" s="3">
        <v>44898</v>
      </c>
      <c r="C156" s="1">
        <v>19</v>
      </c>
      <c r="D156" s="1">
        <v>157</v>
      </c>
      <c r="E156" s="1">
        <v>390</v>
      </c>
      <c r="F156" s="5">
        <f t="shared" si="7"/>
        <v>0.12101910828025478</v>
      </c>
      <c r="G156" s="5">
        <f t="shared" si="8"/>
        <v>4.8717948717948718E-2</v>
      </c>
    </row>
    <row r="157" spans="1:7" x14ac:dyDescent="0.3">
      <c r="A157" s="1">
        <f t="shared" si="6"/>
        <v>48</v>
      </c>
      <c r="B157" s="3">
        <v>44899</v>
      </c>
      <c r="C157" s="1">
        <v>30</v>
      </c>
      <c r="D157" s="1">
        <v>157</v>
      </c>
      <c r="E157" s="1">
        <v>390</v>
      </c>
      <c r="F157" s="5">
        <f t="shared" si="7"/>
        <v>0.19108280254777071</v>
      </c>
      <c r="G157" s="5">
        <f t="shared" si="8"/>
        <v>7.6923076923076927E-2</v>
      </c>
    </row>
    <row r="158" spans="1:7" x14ac:dyDescent="0.3">
      <c r="A158" s="1">
        <f t="shared" si="6"/>
        <v>49</v>
      </c>
      <c r="B158" s="3">
        <v>44900</v>
      </c>
      <c r="C158" s="1">
        <v>23</v>
      </c>
      <c r="D158" s="1">
        <v>156</v>
      </c>
      <c r="E158" s="1">
        <v>390</v>
      </c>
      <c r="F158" s="5">
        <f t="shared" si="7"/>
        <v>0.14743589743589744</v>
      </c>
      <c r="G158" s="5">
        <f t="shared" si="8"/>
        <v>5.8974358974358973E-2</v>
      </c>
    </row>
    <row r="159" spans="1:7" x14ac:dyDescent="0.3">
      <c r="A159" s="1">
        <f t="shared" si="6"/>
        <v>49</v>
      </c>
      <c r="B159" s="3">
        <v>44901</v>
      </c>
      <c r="C159" s="1">
        <v>32</v>
      </c>
      <c r="D159" s="1">
        <v>156</v>
      </c>
      <c r="E159" s="1">
        <v>390</v>
      </c>
      <c r="F159" s="5">
        <f t="shared" si="7"/>
        <v>0.20512820512820512</v>
      </c>
      <c r="G159" s="5">
        <f t="shared" si="8"/>
        <v>8.2051282051282051E-2</v>
      </c>
    </row>
    <row r="160" spans="1:7" x14ac:dyDescent="0.3">
      <c r="A160" s="1">
        <f t="shared" si="6"/>
        <v>49</v>
      </c>
      <c r="B160" s="3">
        <v>44902</v>
      </c>
      <c r="C160" s="1">
        <v>35</v>
      </c>
      <c r="D160" s="1">
        <v>156</v>
      </c>
      <c r="E160" s="1">
        <v>390</v>
      </c>
      <c r="F160" s="5">
        <f t="shared" si="7"/>
        <v>0.22435897435897437</v>
      </c>
      <c r="G160" s="5">
        <f t="shared" si="8"/>
        <v>8.9743589743589744E-2</v>
      </c>
    </row>
    <row r="161" spans="1:7" x14ac:dyDescent="0.3">
      <c r="A161" s="1">
        <f t="shared" si="6"/>
        <v>49</v>
      </c>
      <c r="B161" s="3">
        <v>44903</v>
      </c>
      <c r="C161" s="1">
        <v>29</v>
      </c>
      <c r="D161" s="1">
        <v>156</v>
      </c>
      <c r="E161" s="1">
        <v>390</v>
      </c>
      <c r="F161" s="5">
        <f t="shared" si="7"/>
        <v>0.1858974358974359</v>
      </c>
      <c r="G161" s="5">
        <f t="shared" si="8"/>
        <v>7.4358974358974358E-2</v>
      </c>
    </row>
    <row r="162" spans="1:7" x14ac:dyDescent="0.3">
      <c r="A162" s="1">
        <f t="shared" si="6"/>
        <v>49</v>
      </c>
      <c r="B162" s="3">
        <v>44904</v>
      </c>
      <c r="C162" s="1">
        <v>36</v>
      </c>
      <c r="D162" s="1">
        <v>156</v>
      </c>
      <c r="E162" s="1">
        <v>390</v>
      </c>
      <c r="F162" s="5">
        <f t="shared" si="7"/>
        <v>0.23076923076923078</v>
      </c>
      <c r="G162" s="5">
        <f t="shared" si="8"/>
        <v>9.2307692307692313E-2</v>
      </c>
    </row>
    <row r="163" spans="1:7" x14ac:dyDescent="0.3">
      <c r="A163" s="1">
        <f t="shared" si="6"/>
        <v>49</v>
      </c>
      <c r="B163" s="3">
        <v>44905</v>
      </c>
      <c r="C163" s="1">
        <v>30</v>
      </c>
      <c r="D163" s="1">
        <v>156</v>
      </c>
      <c r="E163" s="1">
        <v>390</v>
      </c>
      <c r="F163" s="5">
        <f t="shared" si="7"/>
        <v>0.19230769230769232</v>
      </c>
      <c r="G163" s="5">
        <f t="shared" si="8"/>
        <v>7.6923076923076927E-2</v>
      </c>
    </row>
    <row r="164" spans="1:7" x14ac:dyDescent="0.3">
      <c r="A164" s="1">
        <f t="shared" si="6"/>
        <v>49</v>
      </c>
      <c r="B164" s="3">
        <v>44906</v>
      </c>
      <c r="C164" s="1">
        <v>25</v>
      </c>
      <c r="D164" s="1">
        <v>156</v>
      </c>
      <c r="E164" s="1">
        <v>390</v>
      </c>
      <c r="F164" s="5">
        <f t="shared" si="7"/>
        <v>0.16025641025641027</v>
      </c>
      <c r="G164" s="5">
        <f t="shared" si="8"/>
        <v>6.4102564102564097E-2</v>
      </c>
    </row>
    <row r="165" spans="1:7" x14ac:dyDescent="0.3">
      <c r="A165" s="1">
        <f t="shared" si="6"/>
        <v>50</v>
      </c>
      <c r="B165" s="3">
        <v>44907</v>
      </c>
      <c r="C165" s="1">
        <v>31</v>
      </c>
      <c r="D165" s="1">
        <v>153</v>
      </c>
      <c r="E165" s="1">
        <v>390</v>
      </c>
      <c r="F165" s="5">
        <f t="shared" si="7"/>
        <v>0.20261437908496732</v>
      </c>
      <c r="G165" s="5">
        <f t="shared" si="8"/>
        <v>7.9487179487179482E-2</v>
      </c>
    </row>
    <row r="166" spans="1:7" x14ac:dyDescent="0.3">
      <c r="A166" s="1">
        <f t="shared" si="6"/>
        <v>50</v>
      </c>
      <c r="B166" s="3">
        <v>44908</v>
      </c>
      <c r="C166" s="1">
        <v>34</v>
      </c>
      <c r="D166" s="1">
        <v>153</v>
      </c>
      <c r="E166" s="1">
        <v>390</v>
      </c>
      <c r="F166" s="5">
        <f t="shared" si="7"/>
        <v>0.22222222222222221</v>
      </c>
      <c r="G166" s="5">
        <f t="shared" si="8"/>
        <v>8.7179487179487175E-2</v>
      </c>
    </row>
    <row r="167" spans="1:7" x14ac:dyDescent="0.3">
      <c r="A167" s="1">
        <f t="shared" si="6"/>
        <v>50</v>
      </c>
      <c r="B167" s="3">
        <v>44909</v>
      </c>
      <c r="C167" s="1">
        <v>22</v>
      </c>
      <c r="D167" s="1">
        <v>153</v>
      </c>
      <c r="E167" s="1">
        <v>390</v>
      </c>
      <c r="F167" s="5">
        <f t="shared" si="7"/>
        <v>0.1437908496732026</v>
      </c>
      <c r="G167" s="5">
        <f t="shared" si="8"/>
        <v>5.6410256410256411E-2</v>
      </c>
    </row>
    <row r="168" spans="1:7" x14ac:dyDescent="0.3">
      <c r="A168" s="1">
        <f t="shared" si="6"/>
        <v>50</v>
      </c>
      <c r="B168" s="3">
        <v>44910</v>
      </c>
      <c r="C168" s="1">
        <v>26</v>
      </c>
      <c r="D168" s="1">
        <v>153</v>
      </c>
      <c r="E168" s="1">
        <v>390</v>
      </c>
      <c r="F168" s="5">
        <f t="shared" si="7"/>
        <v>0.16993464052287582</v>
      </c>
      <c r="G168" s="5">
        <f t="shared" si="8"/>
        <v>6.6666666666666666E-2</v>
      </c>
    </row>
    <row r="169" spans="1:7" x14ac:dyDescent="0.3">
      <c r="A169" s="1">
        <f t="shared" si="6"/>
        <v>50</v>
      </c>
      <c r="B169" s="3">
        <v>44911</v>
      </c>
      <c r="C169" s="1">
        <v>27</v>
      </c>
      <c r="D169" s="1">
        <v>153</v>
      </c>
      <c r="E169" s="1">
        <v>390</v>
      </c>
      <c r="F169" s="5">
        <f t="shared" si="7"/>
        <v>0.17647058823529413</v>
      </c>
      <c r="G169" s="5">
        <f t="shared" si="8"/>
        <v>6.9230769230769235E-2</v>
      </c>
    </row>
    <row r="170" spans="1:7" x14ac:dyDescent="0.3">
      <c r="A170" s="1">
        <f t="shared" si="6"/>
        <v>50</v>
      </c>
      <c r="B170" s="3">
        <v>44912</v>
      </c>
      <c r="C170" s="1">
        <v>28</v>
      </c>
      <c r="D170" s="1">
        <v>153</v>
      </c>
      <c r="E170" s="1">
        <v>390</v>
      </c>
      <c r="F170" s="5">
        <f t="shared" si="7"/>
        <v>0.18300653594771241</v>
      </c>
      <c r="G170" s="5">
        <f t="shared" si="8"/>
        <v>7.179487179487179E-2</v>
      </c>
    </row>
    <row r="171" spans="1:7" x14ac:dyDescent="0.3">
      <c r="A171" s="1">
        <f t="shared" si="6"/>
        <v>50</v>
      </c>
      <c r="B171" s="3">
        <v>44913</v>
      </c>
      <c r="C171" s="1">
        <v>20</v>
      </c>
      <c r="D171" s="1">
        <v>153</v>
      </c>
      <c r="E171" s="1">
        <v>390</v>
      </c>
      <c r="F171" s="5">
        <f t="shared" si="7"/>
        <v>0.13071895424836602</v>
      </c>
      <c r="G171" s="5">
        <f t="shared" si="8"/>
        <v>5.128205128205128E-2</v>
      </c>
    </row>
    <row r="172" spans="1:7" x14ac:dyDescent="0.3">
      <c r="A172" s="1">
        <f t="shared" si="6"/>
        <v>51</v>
      </c>
      <c r="B172" s="3">
        <v>44914</v>
      </c>
      <c r="C172" s="1">
        <v>32</v>
      </c>
      <c r="D172" s="1">
        <v>145</v>
      </c>
      <c r="E172" s="1">
        <v>390</v>
      </c>
      <c r="F172" s="5">
        <f t="shared" si="7"/>
        <v>0.22068965517241379</v>
      </c>
      <c r="G172" s="5">
        <f t="shared" si="8"/>
        <v>8.2051282051282051E-2</v>
      </c>
    </row>
    <row r="173" spans="1:7" x14ac:dyDescent="0.3">
      <c r="A173" s="1">
        <f t="shared" si="6"/>
        <v>51</v>
      </c>
      <c r="B173" s="3">
        <v>44915</v>
      </c>
      <c r="C173" s="1">
        <v>28</v>
      </c>
      <c r="D173" s="1">
        <v>145</v>
      </c>
      <c r="E173" s="1">
        <v>390</v>
      </c>
      <c r="F173" s="5">
        <f t="shared" si="7"/>
        <v>0.19310344827586207</v>
      </c>
      <c r="G173" s="5">
        <f t="shared" si="8"/>
        <v>7.179487179487179E-2</v>
      </c>
    </row>
    <row r="174" spans="1:7" x14ac:dyDescent="0.3">
      <c r="A174" s="1">
        <f t="shared" si="6"/>
        <v>51</v>
      </c>
      <c r="B174" s="3">
        <v>44916</v>
      </c>
      <c r="C174" s="1">
        <v>28</v>
      </c>
      <c r="D174" s="1">
        <v>145</v>
      </c>
      <c r="E174" s="1">
        <v>390</v>
      </c>
      <c r="F174" s="5">
        <f t="shared" si="7"/>
        <v>0.19310344827586207</v>
      </c>
      <c r="G174" s="5">
        <f t="shared" si="8"/>
        <v>7.179487179487179E-2</v>
      </c>
    </row>
    <row r="175" spans="1:7" x14ac:dyDescent="0.3">
      <c r="A175" s="1">
        <f t="shared" si="6"/>
        <v>51</v>
      </c>
      <c r="B175" s="3">
        <v>44917</v>
      </c>
      <c r="C175" s="1">
        <v>29</v>
      </c>
      <c r="D175" s="1">
        <v>145</v>
      </c>
      <c r="E175" s="1">
        <v>390</v>
      </c>
      <c r="F175" s="5">
        <f t="shared" si="7"/>
        <v>0.2</v>
      </c>
      <c r="G175" s="5">
        <f t="shared" si="8"/>
        <v>7.4358974358974358E-2</v>
      </c>
    </row>
    <row r="176" spans="1:7" x14ac:dyDescent="0.3">
      <c r="A176" s="1">
        <f t="shared" si="6"/>
        <v>51</v>
      </c>
      <c r="B176" s="3">
        <v>44918</v>
      </c>
      <c r="C176" s="1">
        <v>36</v>
      </c>
      <c r="D176" s="1">
        <v>145</v>
      </c>
      <c r="E176" s="1">
        <v>390</v>
      </c>
      <c r="F176" s="5">
        <f t="shared" si="7"/>
        <v>0.24827586206896551</v>
      </c>
      <c r="G176" s="5">
        <f t="shared" si="8"/>
        <v>9.2307692307692313E-2</v>
      </c>
    </row>
    <row r="177" spans="1:7" x14ac:dyDescent="0.3">
      <c r="A177" s="1">
        <f t="shared" si="6"/>
        <v>51</v>
      </c>
      <c r="B177" s="3">
        <v>44919</v>
      </c>
      <c r="C177" s="1">
        <v>24</v>
      </c>
      <c r="D177" s="1">
        <v>145</v>
      </c>
      <c r="E177" s="1">
        <v>390</v>
      </c>
      <c r="F177" s="5">
        <f t="shared" si="7"/>
        <v>0.16551724137931034</v>
      </c>
      <c r="G177" s="5">
        <f t="shared" si="8"/>
        <v>6.1538461538461542E-2</v>
      </c>
    </row>
    <row r="178" spans="1:7" x14ac:dyDescent="0.3">
      <c r="A178" s="1">
        <f t="shared" si="6"/>
        <v>51</v>
      </c>
      <c r="B178" s="3">
        <v>44920</v>
      </c>
      <c r="C178" s="1">
        <v>33</v>
      </c>
      <c r="D178" s="1">
        <v>145</v>
      </c>
      <c r="E178" s="1">
        <v>390</v>
      </c>
      <c r="F178" s="5">
        <f t="shared" si="7"/>
        <v>0.22758620689655173</v>
      </c>
      <c r="G178" s="5">
        <f t="shared" si="8"/>
        <v>8.461538461538462E-2</v>
      </c>
    </row>
    <row r="179" spans="1:7" x14ac:dyDescent="0.3">
      <c r="A179" s="1">
        <f t="shared" si="6"/>
        <v>52</v>
      </c>
      <c r="B179" s="3">
        <v>44921</v>
      </c>
      <c r="C179" s="1">
        <v>26</v>
      </c>
      <c r="D179" s="1">
        <v>141</v>
      </c>
      <c r="E179" s="1">
        <v>390</v>
      </c>
      <c r="F179" s="5">
        <f t="shared" si="7"/>
        <v>0.18439716312056736</v>
      </c>
      <c r="G179" s="5">
        <f t="shared" si="8"/>
        <v>6.6666666666666666E-2</v>
      </c>
    </row>
    <row r="180" spans="1:7" x14ac:dyDescent="0.3">
      <c r="A180" s="1">
        <f t="shared" si="6"/>
        <v>52</v>
      </c>
      <c r="B180" s="3">
        <v>44922</v>
      </c>
      <c r="C180" s="1">
        <v>24</v>
      </c>
      <c r="D180" s="1">
        <v>141</v>
      </c>
      <c r="E180" s="1">
        <v>390</v>
      </c>
      <c r="F180" s="5">
        <f t="shared" si="7"/>
        <v>0.1702127659574468</v>
      </c>
      <c r="G180" s="5">
        <f t="shared" si="8"/>
        <v>6.1538461538461542E-2</v>
      </c>
    </row>
    <row r="181" spans="1:7" x14ac:dyDescent="0.3">
      <c r="A181" s="1">
        <f t="shared" si="6"/>
        <v>52</v>
      </c>
      <c r="B181" s="3">
        <v>44923</v>
      </c>
      <c r="C181" s="1">
        <v>32</v>
      </c>
      <c r="D181" s="1">
        <v>141</v>
      </c>
      <c r="E181" s="1">
        <v>390</v>
      </c>
      <c r="F181" s="5">
        <f t="shared" si="7"/>
        <v>0.22695035460992907</v>
      </c>
      <c r="G181" s="5">
        <f t="shared" si="8"/>
        <v>8.2051282051282051E-2</v>
      </c>
    </row>
    <row r="182" spans="1:7" x14ac:dyDescent="0.3">
      <c r="A182" s="1">
        <f t="shared" si="6"/>
        <v>52</v>
      </c>
      <c r="B182" s="3">
        <v>44924</v>
      </c>
      <c r="C182" s="1">
        <v>29</v>
      </c>
      <c r="D182" s="1">
        <v>141</v>
      </c>
      <c r="E182" s="1">
        <v>390</v>
      </c>
      <c r="F182" s="5">
        <f t="shared" si="7"/>
        <v>0.20567375886524822</v>
      </c>
      <c r="G182" s="5">
        <f t="shared" si="8"/>
        <v>7.4358974358974358E-2</v>
      </c>
    </row>
    <row r="183" spans="1:7" x14ac:dyDescent="0.3">
      <c r="A183" s="1">
        <f t="shared" si="6"/>
        <v>52</v>
      </c>
      <c r="B183" s="3">
        <v>44925</v>
      </c>
      <c r="C183" s="1">
        <v>22</v>
      </c>
      <c r="D183" s="1">
        <v>141</v>
      </c>
      <c r="E183" s="1">
        <v>390</v>
      </c>
      <c r="F183" s="5">
        <f t="shared" si="7"/>
        <v>0.15602836879432624</v>
      </c>
      <c r="G183" s="5">
        <f t="shared" si="8"/>
        <v>5.6410256410256411E-2</v>
      </c>
    </row>
    <row r="184" spans="1:7" x14ac:dyDescent="0.3">
      <c r="A184" s="1">
        <f t="shared" si="6"/>
        <v>52</v>
      </c>
      <c r="B184" s="3">
        <v>44926</v>
      </c>
      <c r="C184" s="1">
        <v>37</v>
      </c>
      <c r="D184" s="1">
        <v>141</v>
      </c>
      <c r="E184" s="1">
        <v>390</v>
      </c>
      <c r="F184" s="5">
        <f t="shared" si="7"/>
        <v>0.26241134751773049</v>
      </c>
      <c r="G184" s="5">
        <f t="shared" si="8"/>
        <v>9.4871794871794868E-2</v>
      </c>
    </row>
    <row r="185" spans="1:7" x14ac:dyDescent="0.3">
      <c r="A185" s="1">
        <f t="shared" si="6"/>
        <v>52</v>
      </c>
      <c r="B185" s="3">
        <v>44927</v>
      </c>
      <c r="C185" s="1">
        <v>24</v>
      </c>
      <c r="D185" s="1">
        <v>141</v>
      </c>
      <c r="E185" s="1">
        <v>536</v>
      </c>
      <c r="F185" s="5">
        <f t="shared" si="7"/>
        <v>0.1702127659574468</v>
      </c>
      <c r="G185" s="5">
        <f t="shared" si="8"/>
        <v>4.4776119402985072E-2</v>
      </c>
    </row>
    <row r="186" spans="1:7" x14ac:dyDescent="0.3">
      <c r="A186" s="1">
        <f t="shared" si="6"/>
        <v>1</v>
      </c>
      <c r="B186" s="3">
        <v>44928</v>
      </c>
      <c r="C186" s="1">
        <v>35</v>
      </c>
      <c r="D186" s="1">
        <v>190</v>
      </c>
      <c r="E186" s="1">
        <v>536</v>
      </c>
      <c r="F186" s="5">
        <f t="shared" si="7"/>
        <v>0.18421052631578946</v>
      </c>
      <c r="G186" s="5">
        <f t="shared" si="8"/>
        <v>6.5298507462686561E-2</v>
      </c>
    </row>
    <row r="187" spans="1:7" x14ac:dyDescent="0.3">
      <c r="A187" s="1">
        <f t="shared" si="6"/>
        <v>1</v>
      </c>
      <c r="B187" s="3">
        <v>44929</v>
      </c>
      <c r="C187" s="1">
        <v>40</v>
      </c>
      <c r="D187" s="1">
        <v>190</v>
      </c>
      <c r="E187" s="1">
        <v>536</v>
      </c>
      <c r="F187" s="5">
        <f t="shared" si="7"/>
        <v>0.21052631578947367</v>
      </c>
      <c r="G187" s="5">
        <f t="shared" si="8"/>
        <v>7.4626865671641784E-2</v>
      </c>
    </row>
    <row r="188" spans="1:7" x14ac:dyDescent="0.3">
      <c r="A188" s="1">
        <f t="shared" si="6"/>
        <v>1</v>
      </c>
      <c r="B188" s="3">
        <v>44930</v>
      </c>
      <c r="C188" s="1">
        <v>46</v>
      </c>
      <c r="D188" s="1">
        <v>190</v>
      </c>
      <c r="E188" s="1">
        <v>536</v>
      </c>
      <c r="F188" s="5">
        <f t="shared" si="7"/>
        <v>0.24210526315789474</v>
      </c>
      <c r="G188" s="5">
        <f t="shared" si="8"/>
        <v>8.5820895522388058E-2</v>
      </c>
    </row>
    <row r="189" spans="1:7" x14ac:dyDescent="0.3">
      <c r="A189" s="1">
        <f t="shared" si="6"/>
        <v>1</v>
      </c>
      <c r="B189" s="3">
        <v>44931</v>
      </c>
      <c r="C189" s="1">
        <v>36</v>
      </c>
      <c r="D189" s="1">
        <v>190</v>
      </c>
      <c r="E189" s="1">
        <v>536</v>
      </c>
      <c r="F189" s="5">
        <f t="shared" si="7"/>
        <v>0.18947368421052632</v>
      </c>
      <c r="G189" s="5">
        <f t="shared" si="8"/>
        <v>6.7164179104477612E-2</v>
      </c>
    </row>
    <row r="190" spans="1:7" x14ac:dyDescent="0.3">
      <c r="A190" s="1">
        <f t="shared" si="6"/>
        <v>1</v>
      </c>
      <c r="B190" s="3">
        <v>44932</v>
      </c>
      <c r="C190" s="1">
        <v>46</v>
      </c>
      <c r="D190" s="1">
        <v>190</v>
      </c>
      <c r="E190" s="1">
        <v>536</v>
      </c>
      <c r="F190" s="5">
        <f t="shared" si="7"/>
        <v>0.24210526315789474</v>
      </c>
      <c r="G190" s="5">
        <f t="shared" si="8"/>
        <v>8.5820895522388058E-2</v>
      </c>
    </row>
    <row r="191" spans="1:7" x14ac:dyDescent="0.3">
      <c r="A191" s="1">
        <f t="shared" si="6"/>
        <v>1</v>
      </c>
      <c r="B191" s="3">
        <v>44933</v>
      </c>
      <c r="C191" s="1">
        <v>35</v>
      </c>
      <c r="D191" s="1">
        <v>190</v>
      </c>
      <c r="E191" s="1">
        <v>536</v>
      </c>
      <c r="F191" s="5">
        <f t="shared" si="7"/>
        <v>0.18421052631578946</v>
      </c>
      <c r="G191" s="5">
        <f t="shared" si="8"/>
        <v>6.5298507462686561E-2</v>
      </c>
    </row>
    <row r="192" spans="1:7" x14ac:dyDescent="0.3">
      <c r="A192" s="1">
        <f t="shared" si="6"/>
        <v>1</v>
      </c>
      <c r="B192" s="3">
        <v>44934</v>
      </c>
      <c r="C192" s="1">
        <v>53</v>
      </c>
      <c r="D192" s="1">
        <v>190</v>
      </c>
      <c r="E192" s="1">
        <v>536</v>
      </c>
      <c r="F192" s="5">
        <f t="shared" si="7"/>
        <v>0.27894736842105261</v>
      </c>
      <c r="G192" s="5">
        <f t="shared" si="8"/>
        <v>9.8880597014925367E-2</v>
      </c>
    </row>
    <row r="193" spans="1:7" x14ac:dyDescent="0.3">
      <c r="A193" s="1">
        <f t="shared" si="6"/>
        <v>2</v>
      </c>
      <c r="B193" s="3">
        <v>44935</v>
      </c>
      <c r="C193" s="1">
        <v>53</v>
      </c>
      <c r="D193" s="1">
        <v>233</v>
      </c>
      <c r="E193" s="1">
        <v>536</v>
      </c>
      <c r="F193" s="5">
        <f t="shared" si="7"/>
        <v>0.22746781115879827</v>
      </c>
      <c r="G193" s="5">
        <f t="shared" si="8"/>
        <v>9.8880597014925367E-2</v>
      </c>
    </row>
    <row r="194" spans="1:7" x14ac:dyDescent="0.3">
      <c r="A194" s="1">
        <f t="shared" si="6"/>
        <v>2</v>
      </c>
      <c r="B194" s="3">
        <v>44936</v>
      </c>
      <c r="C194" s="1">
        <v>52</v>
      </c>
      <c r="D194" s="1">
        <v>233</v>
      </c>
      <c r="E194" s="1">
        <v>536</v>
      </c>
      <c r="F194" s="5">
        <f t="shared" si="7"/>
        <v>0.22317596566523606</v>
      </c>
      <c r="G194" s="5">
        <f t="shared" si="8"/>
        <v>9.7014925373134331E-2</v>
      </c>
    </row>
    <row r="195" spans="1:7" x14ac:dyDescent="0.3">
      <c r="A195" s="1">
        <f t="shared" ref="A195:A258" si="9">_xlfn.ISOWEEKNUM(B195)</f>
        <v>2</v>
      </c>
      <c r="B195" s="3">
        <v>44937</v>
      </c>
      <c r="C195" s="1">
        <v>65</v>
      </c>
      <c r="D195" s="1">
        <v>233</v>
      </c>
      <c r="E195" s="1">
        <v>536</v>
      </c>
      <c r="F195" s="5">
        <f t="shared" ref="F195:F258" si="10">C195/D195</f>
        <v>0.27896995708154504</v>
      </c>
      <c r="G195" s="5">
        <f t="shared" ref="G195:G258" si="11">C195/E195</f>
        <v>0.12126865671641791</v>
      </c>
    </row>
    <row r="196" spans="1:7" x14ac:dyDescent="0.3">
      <c r="A196" s="1">
        <f t="shared" si="9"/>
        <v>2</v>
      </c>
      <c r="B196" s="3">
        <v>44938</v>
      </c>
      <c r="C196" s="1">
        <v>52</v>
      </c>
      <c r="D196" s="1">
        <v>233</v>
      </c>
      <c r="E196" s="1">
        <v>536</v>
      </c>
      <c r="F196" s="5">
        <f t="shared" si="10"/>
        <v>0.22317596566523606</v>
      </c>
      <c r="G196" s="5">
        <f t="shared" si="11"/>
        <v>9.7014925373134331E-2</v>
      </c>
    </row>
    <row r="197" spans="1:7" x14ac:dyDescent="0.3">
      <c r="A197" s="1">
        <f t="shared" si="9"/>
        <v>2</v>
      </c>
      <c r="B197" s="3">
        <v>44939</v>
      </c>
      <c r="C197" s="1">
        <v>62</v>
      </c>
      <c r="D197" s="1">
        <v>233</v>
      </c>
      <c r="E197" s="1">
        <v>536</v>
      </c>
      <c r="F197" s="5">
        <f t="shared" si="10"/>
        <v>0.26609442060085836</v>
      </c>
      <c r="G197" s="5">
        <f t="shared" si="11"/>
        <v>0.11567164179104478</v>
      </c>
    </row>
    <row r="198" spans="1:7" x14ac:dyDescent="0.3">
      <c r="A198" s="1">
        <f t="shared" si="9"/>
        <v>2</v>
      </c>
      <c r="B198" s="3">
        <v>44940</v>
      </c>
      <c r="C198" s="1">
        <v>77</v>
      </c>
      <c r="D198" s="1">
        <v>233</v>
      </c>
      <c r="E198" s="1">
        <v>536</v>
      </c>
      <c r="F198" s="5">
        <f t="shared" si="10"/>
        <v>0.33047210300429186</v>
      </c>
      <c r="G198" s="5">
        <f t="shared" si="11"/>
        <v>0.14365671641791045</v>
      </c>
    </row>
    <row r="199" spans="1:7" x14ac:dyDescent="0.3">
      <c r="A199" s="1">
        <f t="shared" si="9"/>
        <v>2</v>
      </c>
      <c r="B199" s="3">
        <v>44941</v>
      </c>
      <c r="C199" s="1">
        <v>61</v>
      </c>
      <c r="D199" s="1">
        <v>233</v>
      </c>
      <c r="E199" s="1">
        <v>536</v>
      </c>
      <c r="F199" s="5">
        <f t="shared" si="10"/>
        <v>0.26180257510729615</v>
      </c>
      <c r="G199" s="5">
        <f t="shared" si="11"/>
        <v>0.11380597014925373</v>
      </c>
    </row>
    <row r="200" spans="1:7" x14ac:dyDescent="0.3">
      <c r="A200" s="1">
        <f t="shared" si="9"/>
        <v>3</v>
      </c>
      <c r="B200" s="3">
        <v>44942</v>
      </c>
      <c r="C200" s="1">
        <v>70</v>
      </c>
      <c r="D200" s="1">
        <v>272</v>
      </c>
      <c r="E200" s="1">
        <v>536</v>
      </c>
      <c r="F200" s="5">
        <f t="shared" si="10"/>
        <v>0.25735294117647056</v>
      </c>
      <c r="G200" s="5">
        <f t="shared" si="11"/>
        <v>0.13059701492537312</v>
      </c>
    </row>
    <row r="201" spans="1:7" x14ac:dyDescent="0.3">
      <c r="A201" s="1">
        <f t="shared" si="9"/>
        <v>3</v>
      </c>
      <c r="B201" s="3">
        <v>44943</v>
      </c>
      <c r="C201" s="1">
        <v>66</v>
      </c>
      <c r="D201" s="1">
        <v>272</v>
      </c>
      <c r="E201" s="1">
        <v>536</v>
      </c>
      <c r="F201" s="5">
        <f t="shared" si="10"/>
        <v>0.24264705882352941</v>
      </c>
      <c r="G201" s="5">
        <f t="shared" si="11"/>
        <v>0.12313432835820895</v>
      </c>
    </row>
    <row r="202" spans="1:7" x14ac:dyDescent="0.3">
      <c r="A202" s="1">
        <f t="shared" si="9"/>
        <v>3</v>
      </c>
      <c r="B202" s="3">
        <v>44944</v>
      </c>
      <c r="C202" s="1">
        <v>73</v>
      </c>
      <c r="D202" s="1">
        <v>272</v>
      </c>
      <c r="E202" s="1">
        <v>536</v>
      </c>
      <c r="F202" s="5">
        <f t="shared" si="10"/>
        <v>0.26838235294117646</v>
      </c>
      <c r="G202" s="5">
        <f t="shared" si="11"/>
        <v>0.13619402985074627</v>
      </c>
    </row>
    <row r="203" spans="1:7" x14ac:dyDescent="0.3">
      <c r="A203" s="1">
        <f t="shared" si="9"/>
        <v>3</v>
      </c>
      <c r="B203" s="3">
        <v>44945</v>
      </c>
      <c r="C203" s="1">
        <v>73</v>
      </c>
      <c r="D203" s="1">
        <v>272</v>
      </c>
      <c r="E203" s="1">
        <v>536</v>
      </c>
      <c r="F203" s="5">
        <f t="shared" si="10"/>
        <v>0.26838235294117646</v>
      </c>
      <c r="G203" s="5">
        <f t="shared" si="11"/>
        <v>0.13619402985074627</v>
      </c>
    </row>
    <row r="204" spans="1:7" x14ac:dyDescent="0.3">
      <c r="A204" s="1">
        <f t="shared" si="9"/>
        <v>3</v>
      </c>
      <c r="B204" s="3">
        <v>44946</v>
      </c>
      <c r="C204" s="1">
        <v>80</v>
      </c>
      <c r="D204" s="1">
        <v>272</v>
      </c>
      <c r="E204" s="1">
        <v>536</v>
      </c>
      <c r="F204" s="5">
        <f t="shared" si="10"/>
        <v>0.29411764705882354</v>
      </c>
      <c r="G204" s="5">
        <f t="shared" si="11"/>
        <v>0.14925373134328357</v>
      </c>
    </row>
    <row r="205" spans="1:7" x14ac:dyDescent="0.3">
      <c r="A205" s="1">
        <f t="shared" si="9"/>
        <v>3</v>
      </c>
      <c r="B205" s="3">
        <v>44947</v>
      </c>
      <c r="C205" s="1">
        <v>75</v>
      </c>
      <c r="D205" s="1">
        <v>272</v>
      </c>
      <c r="E205" s="1">
        <v>536</v>
      </c>
      <c r="F205" s="5">
        <f t="shared" si="10"/>
        <v>0.27573529411764708</v>
      </c>
      <c r="G205" s="5">
        <f t="shared" si="11"/>
        <v>0.13992537313432835</v>
      </c>
    </row>
    <row r="206" spans="1:7" x14ac:dyDescent="0.3">
      <c r="A206" s="1">
        <f t="shared" si="9"/>
        <v>3</v>
      </c>
      <c r="B206" s="3">
        <v>44948</v>
      </c>
      <c r="C206" s="1">
        <v>90</v>
      </c>
      <c r="D206" s="1">
        <v>272</v>
      </c>
      <c r="E206" s="1">
        <v>536</v>
      </c>
      <c r="F206" s="5">
        <f t="shared" si="10"/>
        <v>0.33088235294117646</v>
      </c>
      <c r="G206" s="5">
        <f t="shared" si="11"/>
        <v>0.16791044776119404</v>
      </c>
    </row>
    <row r="207" spans="1:7" x14ac:dyDescent="0.3">
      <c r="A207" s="1">
        <f t="shared" si="9"/>
        <v>4</v>
      </c>
      <c r="B207" s="3">
        <v>44949</v>
      </c>
      <c r="C207" s="1">
        <v>78</v>
      </c>
      <c r="D207" s="1">
        <v>295</v>
      </c>
      <c r="E207" s="1">
        <v>536</v>
      </c>
      <c r="F207" s="5">
        <f t="shared" si="10"/>
        <v>0.26440677966101694</v>
      </c>
      <c r="G207" s="5">
        <f t="shared" si="11"/>
        <v>0.1455223880597015</v>
      </c>
    </row>
    <row r="208" spans="1:7" x14ac:dyDescent="0.3">
      <c r="A208" s="1">
        <f t="shared" si="9"/>
        <v>4</v>
      </c>
      <c r="B208" s="3">
        <v>44950</v>
      </c>
      <c r="C208" s="1">
        <v>90</v>
      </c>
      <c r="D208" s="1">
        <v>295</v>
      </c>
      <c r="E208" s="1">
        <v>536</v>
      </c>
      <c r="F208" s="5">
        <f t="shared" si="10"/>
        <v>0.30508474576271188</v>
      </c>
      <c r="G208" s="5">
        <f t="shared" si="11"/>
        <v>0.16791044776119404</v>
      </c>
    </row>
    <row r="209" spans="1:7" x14ac:dyDescent="0.3">
      <c r="A209" s="1">
        <f t="shared" si="9"/>
        <v>4</v>
      </c>
      <c r="B209" s="3">
        <v>44951</v>
      </c>
      <c r="C209" s="1">
        <v>88</v>
      </c>
      <c r="D209" s="1">
        <v>295</v>
      </c>
      <c r="E209" s="1">
        <v>536</v>
      </c>
      <c r="F209" s="5">
        <f t="shared" si="10"/>
        <v>0.29830508474576273</v>
      </c>
      <c r="G209" s="5">
        <f t="shared" si="11"/>
        <v>0.16417910447761194</v>
      </c>
    </row>
    <row r="210" spans="1:7" x14ac:dyDescent="0.3">
      <c r="A210" s="1">
        <f t="shared" si="9"/>
        <v>4</v>
      </c>
      <c r="B210" s="3">
        <v>44952</v>
      </c>
      <c r="C210" s="1">
        <v>83</v>
      </c>
      <c r="D210" s="1">
        <v>295</v>
      </c>
      <c r="E210" s="1">
        <v>536</v>
      </c>
      <c r="F210" s="5">
        <f t="shared" si="10"/>
        <v>0.28135593220338984</v>
      </c>
      <c r="G210" s="5">
        <f t="shared" si="11"/>
        <v>0.15485074626865672</v>
      </c>
    </row>
    <row r="211" spans="1:7" x14ac:dyDescent="0.3">
      <c r="A211" s="1">
        <f t="shared" si="9"/>
        <v>4</v>
      </c>
      <c r="B211" s="3">
        <v>44953</v>
      </c>
      <c r="C211" s="1">
        <v>92</v>
      </c>
      <c r="D211" s="1">
        <v>295</v>
      </c>
      <c r="E211" s="1">
        <v>536</v>
      </c>
      <c r="F211" s="5">
        <f t="shared" si="10"/>
        <v>0.31186440677966104</v>
      </c>
      <c r="G211" s="5">
        <f t="shared" si="11"/>
        <v>0.17164179104477612</v>
      </c>
    </row>
    <row r="212" spans="1:7" x14ac:dyDescent="0.3">
      <c r="A212" s="1">
        <f t="shared" si="9"/>
        <v>4</v>
      </c>
      <c r="B212" s="3">
        <v>44954</v>
      </c>
      <c r="C212" s="1">
        <v>99</v>
      </c>
      <c r="D212" s="1">
        <v>295</v>
      </c>
      <c r="E212" s="1">
        <v>536</v>
      </c>
      <c r="F212" s="5">
        <f t="shared" si="10"/>
        <v>0.33559322033898303</v>
      </c>
      <c r="G212" s="5">
        <f t="shared" si="11"/>
        <v>0.18470149253731344</v>
      </c>
    </row>
    <row r="213" spans="1:7" x14ac:dyDescent="0.3">
      <c r="A213" s="1">
        <f t="shared" si="9"/>
        <v>4</v>
      </c>
      <c r="B213" s="3">
        <v>44955</v>
      </c>
      <c r="C213" s="1">
        <v>93</v>
      </c>
      <c r="D213" s="1">
        <v>295</v>
      </c>
      <c r="E213" s="1">
        <v>536</v>
      </c>
      <c r="F213" s="5">
        <f t="shared" si="10"/>
        <v>0.31525423728813562</v>
      </c>
      <c r="G213" s="5">
        <f t="shared" si="11"/>
        <v>0.17350746268656717</v>
      </c>
    </row>
    <row r="214" spans="1:7" x14ac:dyDescent="0.3">
      <c r="A214" s="1">
        <f t="shared" si="9"/>
        <v>5</v>
      </c>
      <c r="B214" s="3">
        <v>44956</v>
      </c>
      <c r="C214" s="1">
        <v>115</v>
      </c>
      <c r="D214" s="1">
        <v>346</v>
      </c>
      <c r="E214" s="1">
        <v>536</v>
      </c>
      <c r="F214" s="5">
        <f t="shared" si="10"/>
        <v>0.33236994219653176</v>
      </c>
      <c r="G214" s="5">
        <f t="shared" si="11"/>
        <v>0.21455223880597016</v>
      </c>
    </row>
    <row r="215" spans="1:7" x14ac:dyDescent="0.3">
      <c r="A215" s="1">
        <f t="shared" si="9"/>
        <v>5</v>
      </c>
      <c r="B215" s="3">
        <v>44957</v>
      </c>
      <c r="C215" s="1">
        <v>108</v>
      </c>
      <c r="D215" s="1">
        <v>346</v>
      </c>
      <c r="E215" s="1">
        <v>536</v>
      </c>
      <c r="F215" s="5">
        <f t="shared" si="10"/>
        <v>0.31213872832369943</v>
      </c>
      <c r="G215" s="5">
        <f t="shared" si="11"/>
        <v>0.20149253731343283</v>
      </c>
    </row>
    <row r="216" spans="1:7" x14ac:dyDescent="0.3">
      <c r="A216" s="1">
        <f t="shared" si="9"/>
        <v>5</v>
      </c>
      <c r="B216" s="3">
        <v>44958</v>
      </c>
      <c r="C216" s="1">
        <v>112</v>
      </c>
      <c r="D216" s="1">
        <v>346</v>
      </c>
      <c r="E216" s="1">
        <v>696</v>
      </c>
      <c r="F216" s="5">
        <f t="shared" si="10"/>
        <v>0.32369942196531792</v>
      </c>
      <c r="G216" s="5">
        <f t="shared" si="11"/>
        <v>0.16091954022988506</v>
      </c>
    </row>
    <row r="217" spans="1:7" x14ac:dyDescent="0.3">
      <c r="A217" s="1">
        <f t="shared" si="9"/>
        <v>5</v>
      </c>
      <c r="B217" s="3">
        <v>44959</v>
      </c>
      <c r="C217" s="1">
        <v>86</v>
      </c>
      <c r="D217" s="1">
        <v>346</v>
      </c>
      <c r="E217" s="1">
        <v>696</v>
      </c>
      <c r="F217" s="5">
        <f t="shared" si="10"/>
        <v>0.24855491329479767</v>
      </c>
      <c r="G217" s="5">
        <f t="shared" si="11"/>
        <v>0.1235632183908046</v>
      </c>
    </row>
    <row r="218" spans="1:7" x14ac:dyDescent="0.3">
      <c r="A218" s="1">
        <f t="shared" si="9"/>
        <v>5</v>
      </c>
      <c r="B218" s="3">
        <v>44960</v>
      </c>
      <c r="C218" s="1">
        <v>98</v>
      </c>
      <c r="D218" s="1">
        <v>346</v>
      </c>
      <c r="E218" s="1">
        <v>696</v>
      </c>
      <c r="F218" s="5">
        <f t="shared" si="10"/>
        <v>0.2832369942196532</v>
      </c>
      <c r="G218" s="5">
        <f t="shared" si="11"/>
        <v>0.14080459770114942</v>
      </c>
    </row>
    <row r="219" spans="1:7" x14ac:dyDescent="0.3">
      <c r="A219" s="1">
        <f t="shared" si="9"/>
        <v>5</v>
      </c>
      <c r="B219" s="3">
        <v>44961</v>
      </c>
      <c r="C219" s="1">
        <v>100</v>
      </c>
      <c r="D219" s="1">
        <v>346</v>
      </c>
      <c r="E219" s="1">
        <v>696</v>
      </c>
      <c r="F219" s="5">
        <f t="shared" si="10"/>
        <v>0.28901734104046245</v>
      </c>
      <c r="G219" s="5">
        <f t="shared" si="11"/>
        <v>0.14367816091954022</v>
      </c>
    </row>
    <row r="220" spans="1:7" x14ac:dyDescent="0.3">
      <c r="A220" s="1">
        <f t="shared" si="9"/>
        <v>5</v>
      </c>
      <c r="B220" s="3">
        <v>44962</v>
      </c>
      <c r="C220" s="1">
        <v>95</v>
      </c>
      <c r="D220" s="1">
        <v>346</v>
      </c>
      <c r="E220" s="1">
        <v>696</v>
      </c>
      <c r="F220" s="5">
        <f t="shared" si="10"/>
        <v>0.27456647398843931</v>
      </c>
      <c r="G220" s="5">
        <f t="shared" si="11"/>
        <v>0.13649425287356323</v>
      </c>
    </row>
    <row r="221" spans="1:7" x14ac:dyDescent="0.3">
      <c r="A221" s="1">
        <f t="shared" si="9"/>
        <v>6</v>
      </c>
      <c r="B221" s="3">
        <v>44963</v>
      </c>
      <c r="C221" s="1">
        <v>98</v>
      </c>
      <c r="D221" s="1">
        <v>340</v>
      </c>
      <c r="E221" s="1">
        <v>696</v>
      </c>
      <c r="F221" s="5">
        <f t="shared" si="10"/>
        <v>0.28823529411764703</v>
      </c>
      <c r="G221" s="5">
        <f t="shared" si="11"/>
        <v>0.14080459770114942</v>
      </c>
    </row>
    <row r="222" spans="1:7" x14ac:dyDescent="0.3">
      <c r="A222" s="1">
        <f t="shared" si="9"/>
        <v>6</v>
      </c>
      <c r="B222" s="3">
        <v>44964</v>
      </c>
      <c r="C222" s="1">
        <v>90</v>
      </c>
      <c r="D222" s="1">
        <v>340</v>
      </c>
      <c r="E222" s="1">
        <v>696</v>
      </c>
      <c r="F222" s="5">
        <f t="shared" si="10"/>
        <v>0.26470588235294118</v>
      </c>
      <c r="G222" s="5">
        <f t="shared" si="11"/>
        <v>0.12931034482758622</v>
      </c>
    </row>
    <row r="223" spans="1:7" x14ac:dyDescent="0.3">
      <c r="A223" s="1">
        <f t="shared" si="9"/>
        <v>6</v>
      </c>
      <c r="B223" s="3">
        <v>44965</v>
      </c>
      <c r="C223" s="1">
        <v>107</v>
      </c>
      <c r="D223" s="1">
        <v>340</v>
      </c>
      <c r="E223" s="1">
        <v>696</v>
      </c>
      <c r="F223" s="5">
        <f t="shared" si="10"/>
        <v>0.31470588235294117</v>
      </c>
      <c r="G223" s="5">
        <f t="shared" si="11"/>
        <v>0.15373563218390804</v>
      </c>
    </row>
    <row r="224" spans="1:7" x14ac:dyDescent="0.3">
      <c r="A224" s="1">
        <f t="shared" si="9"/>
        <v>6</v>
      </c>
      <c r="B224" s="3">
        <v>44966</v>
      </c>
      <c r="C224" s="1">
        <v>101</v>
      </c>
      <c r="D224" s="1">
        <v>340</v>
      </c>
      <c r="E224" s="1">
        <v>696</v>
      </c>
      <c r="F224" s="5">
        <f t="shared" si="10"/>
        <v>0.29705882352941176</v>
      </c>
      <c r="G224" s="5">
        <f t="shared" si="11"/>
        <v>0.14511494252873564</v>
      </c>
    </row>
    <row r="225" spans="1:7" x14ac:dyDescent="0.3">
      <c r="A225" s="1">
        <f t="shared" si="9"/>
        <v>6</v>
      </c>
      <c r="B225" s="3">
        <v>44967</v>
      </c>
      <c r="C225" s="1">
        <v>104</v>
      </c>
      <c r="D225" s="1">
        <v>340</v>
      </c>
      <c r="E225" s="1">
        <v>696</v>
      </c>
      <c r="F225" s="5">
        <f t="shared" si="10"/>
        <v>0.30588235294117649</v>
      </c>
      <c r="G225" s="5">
        <f t="shared" si="11"/>
        <v>0.14942528735632185</v>
      </c>
    </row>
    <row r="226" spans="1:7" x14ac:dyDescent="0.3">
      <c r="A226" s="1">
        <f t="shared" si="9"/>
        <v>6</v>
      </c>
      <c r="B226" s="3">
        <v>44968</v>
      </c>
      <c r="C226" s="1">
        <v>98</v>
      </c>
      <c r="D226" s="1">
        <v>340</v>
      </c>
      <c r="E226" s="1">
        <v>696</v>
      </c>
      <c r="F226" s="5">
        <f t="shared" si="10"/>
        <v>0.28823529411764703</v>
      </c>
      <c r="G226" s="5">
        <f t="shared" si="11"/>
        <v>0.14080459770114942</v>
      </c>
    </row>
    <row r="227" spans="1:7" x14ac:dyDescent="0.3">
      <c r="A227" s="1">
        <f t="shared" si="9"/>
        <v>6</v>
      </c>
      <c r="B227" s="3">
        <v>44969</v>
      </c>
      <c r="C227" s="1">
        <v>101</v>
      </c>
      <c r="D227" s="1">
        <v>340</v>
      </c>
      <c r="E227" s="1">
        <v>696</v>
      </c>
      <c r="F227" s="5">
        <f t="shared" si="10"/>
        <v>0.29705882352941176</v>
      </c>
      <c r="G227" s="5">
        <f t="shared" si="11"/>
        <v>0.14511494252873564</v>
      </c>
    </row>
    <row r="228" spans="1:7" x14ac:dyDescent="0.3">
      <c r="A228" s="1">
        <f t="shared" si="9"/>
        <v>7</v>
      </c>
      <c r="B228" s="3">
        <v>44970</v>
      </c>
      <c r="C228" s="1">
        <v>94</v>
      </c>
      <c r="D228" s="1">
        <v>347</v>
      </c>
      <c r="E228" s="1">
        <v>696</v>
      </c>
      <c r="F228" s="5">
        <f t="shared" si="10"/>
        <v>0.27089337175792505</v>
      </c>
      <c r="G228" s="5">
        <f t="shared" si="11"/>
        <v>0.13505747126436782</v>
      </c>
    </row>
    <row r="229" spans="1:7" x14ac:dyDescent="0.3">
      <c r="A229" s="1">
        <f t="shared" si="9"/>
        <v>7</v>
      </c>
      <c r="B229" s="3">
        <v>44971</v>
      </c>
      <c r="C229" s="1">
        <v>108</v>
      </c>
      <c r="D229" s="1">
        <v>347</v>
      </c>
      <c r="E229" s="1">
        <v>696</v>
      </c>
      <c r="F229" s="5">
        <f t="shared" si="10"/>
        <v>0.31123919308357351</v>
      </c>
      <c r="G229" s="5">
        <f t="shared" si="11"/>
        <v>0.15517241379310345</v>
      </c>
    </row>
    <row r="230" spans="1:7" x14ac:dyDescent="0.3">
      <c r="A230" s="1">
        <f t="shared" si="9"/>
        <v>7</v>
      </c>
      <c r="B230" s="3">
        <v>44972</v>
      </c>
      <c r="C230" s="1">
        <v>103</v>
      </c>
      <c r="D230" s="1">
        <v>347</v>
      </c>
      <c r="E230" s="1">
        <v>696</v>
      </c>
      <c r="F230" s="5">
        <f t="shared" si="10"/>
        <v>0.29682997118155618</v>
      </c>
      <c r="G230" s="5">
        <f t="shared" si="11"/>
        <v>0.14798850574712644</v>
      </c>
    </row>
    <row r="231" spans="1:7" x14ac:dyDescent="0.3">
      <c r="A231" s="1">
        <f t="shared" si="9"/>
        <v>7</v>
      </c>
      <c r="B231" s="3">
        <v>44973</v>
      </c>
      <c r="C231" s="1">
        <v>95</v>
      </c>
      <c r="D231" s="1">
        <v>347</v>
      </c>
      <c r="E231" s="1">
        <v>696</v>
      </c>
      <c r="F231" s="5">
        <f t="shared" si="10"/>
        <v>0.2737752161383285</v>
      </c>
      <c r="G231" s="5">
        <f t="shared" si="11"/>
        <v>0.13649425287356323</v>
      </c>
    </row>
    <row r="232" spans="1:7" x14ac:dyDescent="0.3">
      <c r="A232" s="1">
        <f t="shared" si="9"/>
        <v>7</v>
      </c>
      <c r="B232" s="3">
        <v>44974</v>
      </c>
      <c r="C232" s="1">
        <v>107</v>
      </c>
      <c r="D232" s="1">
        <v>347</v>
      </c>
      <c r="E232" s="1">
        <v>696</v>
      </c>
      <c r="F232" s="5">
        <f t="shared" si="10"/>
        <v>0.30835734870317005</v>
      </c>
      <c r="G232" s="5">
        <f t="shared" si="11"/>
        <v>0.15373563218390804</v>
      </c>
    </row>
    <row r="233" spans="1:7" x14ac:dyDescent="0.3">
      <c r="A233" s="1">
        <f t="shared" si="9"/>
        <v>7</v>
      </c>
      <c r="B233" s="3">
        <v>44975</v>
      </c>
      <c r="C233" s="1">
        <v>116</v>
      </c>
      <c r="D233" s="1">
        <v>347</v>
      </c>
      <c r="E233" s="1">
        <v>696</v>
      </c>
      <c r="F233" s="5">
        <f t="shared" si="10"/>
        <v>0.33429394812680113</v>
      </c>
      <c r="G233" s="5">
        <f t="shared" si="11"/>
        <v>0.16666666666666666</v>
      </c>
    </row>
    <row r="234" spans="1:7" x14ac:dyDescent="0.3">
      <c r="A234" s="1">
        <f t="shared" si="9"/>
        <v>7</v>
      </c>
      <c r="B234" s="3">
        <v>44976</v>
      </c>
      <c r="C234" s="1">
        <v>109</v>
      </c>
      <c r="D234" s="1">
        <v>347</v>
      </c>
      <c r="E234" s="1">
        <v>696</v>
      </c>
      <c r="F234" s="5">
        <f t="shared" si="10"/>
        <v>0.31412103746397696</v>
      </c>
      <c r="G234" s="5">
        <f t="shared" si="11"/>
        <v>0.15660919540229884</v>
      </c>
    </row>
    <row r="235" spans="1:7" x14ac:dyDescent="0.3">
      <c r="A235" s="1">
        <f t="shared" si="9"/>
        <v>8</v>
      </c>
      <c r="B235" s="3">
        <v>44977</v>
      </c>
      <c r="C235" s="1">
        <v>84</v>
      </c>
      <c r="D235" s="1">
        <v>384</v>
      </c>
      <c r="E235" s="1">
        <v>696</v>
      </c>
      <c r="F235" s="5">
        <f t="shared" si="10"/>
        <v>0.21875</v>
      </c>
      <c r="G235" s="5">
        <f t="shared" si="11"/>
        <v>0.1206896551724138</v>
      </c>
    </row>
    <row r="236" spans="1:7" x14ac:dyDescent="0.3">
      <c r="A236" s="1">
        <f t="shared" si="9"/>
        <v>8</v>
      </c>
      <c r="B236" s="3">
        <v>44978</v>
      </c>
      <c r="C236" s="1">
        <v>98</v>
      </c>
      <c r="D236" s="1">
        <v>384</v>
      </c>
      <c r="E236" s="1">
        <v>696</v>
      </c>
      <c r="F236" s="5">
        <f t="shared" si="10"/>
        <v>0.25520833333333331</v>
      </c>
      <c r="G236" s="5">
        <f t="shared" si="11"/>
        <v>0.14080459770114942</v>
      </c>
    </row>
    <row r="237" spans="1:7" x14ac:dyDescent="0.3">
      <c r="A237" s="1">
        <f t="shared" si="9"/>
        <v>8</v>
      </c>
      <c r="B237" s="3">
        <v>44979</v>
      </c>
      <c r="C237" s="1">
        <v>115</v>
      </c>
      <c r="D237" s="1">
        <v>384</v>
      </c>
      <c r="E237" s="1">
        <v>696</v>
      </c>
      <c r="F237" s="5">
        <f t="shared" si="10"/>
        <v>0.29947916666666669</v>
      </c>
      <c r="G237" s="5">
        <f t="shared" si="11"/>
        <v>0.16522988505747127</v>
      </c>
    </row>
    <row r="238" spans="1:7" x14ac:dyDescent="0.3">
      <c r="A238" s="1">
        <f t="shared" si="9"/>
        <v>8</v>
      </c>
      <c r="B238" s="3">
        <v>44980</v>
      </c>
      <c r="C238" s="1">
        <v>95</v>
      </c>
      <c r="D238" s="1">
        <v>384</v>
      </c>
      <c r="E238" s="1">
        <v>696</v>
      </c>
      <c r="F238" s="5">
        <f t="shared" si="10"/>
        <v>0.24739583333333334</v>
      </c>
      <c r="G238" s="5">
        <f t="shared" si="11"/>
        <v>0.13649425287356323</v>
      </c>
    </row>
    <row r="239" spans="1:7" x14ac:dyDescent="0.3">
      <c r="A239" s="1">
        <f t="shared" si="9"/>
        <v>8</v>
      </c>
      <c r="B239" s="3">
        <v>44981</v>
      </c>
      <c r="C239" s="1">
        <v>106</v>
      </c>
      <c r="D239" s="1">
        <v>384</v>
      </c>
      <c r="E239" s="1">
        <v>696</v>
      </c>
      <c r="F239" s="5">
        <f t="shared" si="10"/>
        <v>0.27604166666666669</v>
      </c>
      <c r="G239" s="5">
        <f t="shared" si="11"/>
        <v>0.15229885057471265</v>
      </c>
    </row>
    <row r="240" spans="1:7" x14ac:dyDescent="0.3">
      <c r="A240" s="1">
        <f t="shared" si="9"/>
        <v>8</v>
      </c>
      <c r="B240" s="3">
        <v>44982</v>
      </c>
      <c r="C240" s="1">
        <v>118</v>
      </c>
      <c r="D240" s="1">
        <v>384</v>
      </c>
      <c r="E240" s="1">
        <v>696</v>
      </c>
      <c r="F240" s="5">
        <f t="shared" si="10"/>
        <v>0.30729166666666669</v>
      </c>
      <c r="G240" s="5">
        <f t="shared" si="11"/>
        <v>0.16954022988505746</v>
      </c>
    </row>
    <row r="241" spans="1:7" x14ac:dyDescent="0.3">
      <c r="A241" s="1">
        <f t="shared" si="9"/>
        <v>8</v>
      </c>
      <c r="B241" s="3">
        <v>44983</v>
      </c>
      <c r="C241" s="1">
        <v>127</v>
      </c>
      <c r="D241" s="1">
        <v>384</v>
      </c>
      <c r="E241" s="1">
        <v>696</v>
      </c>
      <c r="F241" s="5">
        <f t="shared" si="10"/>
        <v>0.33072916666666669</v>
      </c>
      <c r="G241" s="5">
        <f t="shared" si="11"/>
        <v>0.18247126436781611</v>
      </c>
    </row>
    <row r="242" spans="1:7" x14ac:dyDescent="0.3">
      <c r="A242" s="1">
        <f t="shared" si="9"/>
        <v>9</v>
      </c>
      <c r="B242" s="3">
        <v>44984</v>
      </c>
      <c r="C242" s="1">
        <v>104</v>
      </c>
      <c r="D242" s="1">
        <v>611</v>
      </c>
      <c r="E242" s="1">
        <v>696</v>
      </c>
      <c r="F242" s="5">
        <f t="shared" si="10"/>
        <v>0.1702127659574468</v>
      </c>
      <c r="G242" s="5">
        <f t="shared" si="11"/>
        <v>0.14942528735632185</v>
      </c>
    </row>
    <row r="243" spans="1:7" x14ac:dyDescent="0.3">
      <c r="A243" s="1">
        <f t="shared" si="9"/>
        <v>9</v>
      </c>
      <c r="B243" s="3">
        <v>44985</v>
      </c>
      <c r="C243" s="1">
        <v>131</v>
      </c>
      <c r="D243" s="1">
        <v>611</v>
      </c>
      <c r="E243" s="1">
        <v>696</v>
      </c>
      <c r="F243" s="5">
        <f t="shared" si="10"/>
        <v>0.2144026186579378</v>
      </c>
      <c r="G243" s="5">
        <f t="shared" si="11"/>
        <v>0.18821839080459771</v>
      </c>
    </row>
    <row r="244" spans="1:7" x14ac:dyDescent="0.3">
      <c r="A244" s="1">
        <f t="shared" si="9"/>
        <v>9</v>
      </c>
      <c r="B244" s="3">
        <v>44986</v>
      </c>
      <c r="C244" s="1">
        <v>130</v>
      </c>
      <c r="D244" s="1">
        <v>611</v>
      </c>
      <c r="E244" s="1">
        <v>1544</v>
      </c>
      <c r="F244" s="5">
        <f t="shared" si="10"/>
        <v>0.21276595744680851</v>
      </c>
      <c r="G244" s="5">
        <f t="shared" si="11"/>
        <v>8.4196891191709838E-2</v>
      </c>
    </row>
    <row r="245" spans="1:7" x14ac:dyDescent="0.3">
      <c r="A245" s="1">
        <f t="shared" si="9"/>
        <v>9</v>
      </c>
      <c r="B245" s="3">
        <v>44987</v>
      </c>
      <c r="C245" s="1">
        <v>138</v>
      </c>
      <c r="D245" s="1">
        <v>611</v>
      </c>
      <c r="E245" s="1">
        <v>1544</v>
      </c>
      <c r="F245" s="5">
        <f t="shared" si="10"/>
        <v>0.22585924713584288</v>
      </c>
      <c r="G245" s="5">
        <f t="shared" si="11"/>
        <v>8.937823834196891E-2</v>
      </c>
    </row>
    <row r="246" spans="1:7" x14ac:dyDescent="0.3">
      <c r="A246" s="1">
        <f t="shared" si="9"/>
        <v>9</v>
      </c>
      <c r="B246" s="3">
        <v>44988</v>
      </c>
      <c r="C246" s="1">
        <v>167</v>
      </c>
      <c r="D246" s="1">
        <v>611</v>
      </c>
      <c r="E246" s="1">
        <v>1544</v>
      </c>
      <c r="F246" s="5">
        <f t="shared" si="10"/>
        <v>0.27332242225859249</v>
      </c>
      <c r="G246" s="5">
        <f t="shared" si="11"/>
        <v>0.10816062176165803</v>
      </c>
    </row>
    <row r="247" spans="1:7" x14ac:dyDescent="0.3">
      <c r="A247" s="1">
        <f t="shared" si="9"/>
        <v>9</v>
      </c>
      <c r="B247" s="3">
        <v>44989</v>
      </c>
      <c r="C247" s="1">
        <v>170</v>
      </c>
      <c r="D247" s="1">
        <v>611</v>
      </c>
      <c r="E247" s="1">
        <v>1544</v>
      </c>
      <c r="F247" s="5">
        <f t="shared" si="10"/>
        <v>0.27823240589198034</v>
      </c>
      <c r="G247" s="5">
        <f t="shared" si="11"/>
        <v>0.11010362694300518</v>
      </c>
    </row>
    <row r="248" spans="1:7" x14ac:dyDescent="0.3">
      <c r="A248" s="1">
        <f t="shared" si="9"/>
        <v>9</v>
      </c>
      <c r="B248" s="3">
        <v>44990</v>
      </c>
      <c r="C248" s="1">
        <v>165</v>
      </c>
      <c r="D248" s="1">
        <v>611</v>
      </c>
      <c r="E248" s="1">
        <v>1544</v>
      </c>
      <c r="F248" s="5">
        <f t="shared" si="10"/>
        <v>0.27004909983633391</v>
      </c>
      <c r="G248" s="5">
        <f t="shared" si="11"/>
        <v>0.10686528497409327</v>
      </c>
    </row>
    <row r="249" spans="1:7" x14ac:dyDescent="0.3">
      <c r="A249" s="1">
        <f t="shared" si="9"/>
        <v>10</v>
      </c>
      <c r="B249" s="3">
        <v>44991</v>
      </c>
      <c r="C249" s="1">
        <v>149</v>
      </c>
      <c r="D249" s="1">
        <v>712</v>
      </c>
      <c r="E249" s="1">
        <v>1544</v>
      </c>
      <c r="F249" s="5">
        <f t="shared" si="10"/>
        <v>0.20926966292134833</v>
      </c>
      <c r="G249" s="5">
        <f t="shared" si="11"/>
        <v>9.6502590673575125E-2</v>
      </c>
    </row>
    <row r="250" spans="1:7" x14ac:dyDescent="0.3">
      <c r="A250" s="1">
        <f t="shared" si="9"/>
        <v>10</v>
      </c>
      <c r="B250" s="3">
        <v>44992</v>
      </c>
      <c r="C250" s="1">
        <v>151</v>
      </c>
      <c r="D250" s="1">
        <v>712</v>
      </c>
      <c r="E250" s="1">
        <v>1544</v>
      </c>
      <c r="F250" s="5">
        <f t="shared" si="10"/>
        <v>0.21207865168539325</v>
      </c>
      <c r="G250" s="5">
        <f t="shared" si="11"/>
        <v>9.7797927461139897E-2</v>
      </c>
    </row>
    <row r="251" spans="1:7" x14ac:dyDescent="0.3">
      <c r="A251" s="1">
        <f t="shared" si="9"/>
        <v>10</v>
      </c>
      <c r="B251" s="3">
        <v>44993</v>
      </c>
      <c r="C251" s="1">
        <v>173</v>
      </c>
      <c r="D251" s="1">
        <v>712</v>
      </c>
      <c r="E251" s="1">
        <v>1544</v>
      </c>
      <c r="F251" s="5">
        <f t="shared" si="10"/>
        <v>0.24297752808988765</v>
      </c>
      <c r="G251" s="5">
        <f t="shared" si="11"/>
        <v>0.11204663212435233</v>
      </c>
    </row>
    <row r="252" spans="1:7" x14ac:dyDescent="0.3">
      <c r="A252" s="1">
        <f t="shared" si="9"/>
        <v>10</v>
      </c>
      <c r="B252" s="3">
        <v>44994</v>
      </c>
      <c r="C252" s="1">
        <v>150</v>
      </c>
      <c r="D252" s="1">
        <v>712</v>
      </c>
      <c r="E252" s="1">
        <v>1544</v>
      </c>
      <c r="F252" s="5">
        <f t="shared" si="10"/>
        <v>0.21067415730337077</v>
      </c>
      <c r="G252" s="5">
        <f t="shared" si="11"/>
        <v>9.7150259067357511E-2</v>
      </c>
    </row>
    <row r="253" spans="1:7" x14ac:dyDescent="0.3">
      <c r="A253" s="1">
        <f t="shared" si="9"/>
        <v>10</v>
      </c>
      <c r="B253" s="3">
        <v>44995</v>
      </c>
      <c r="C253" s="1">
        <v>162</v>
      </c>
      <c r="D253" s="1">
        <v>712</v>
      </c>
      <c r="E253" s="1">
        <v>1544</v>
      </c>
      <c r="F253" s="5">
        <f t="shared" si="10"/>
        <v>0.22752808988764045</v>
      </c>
      <c r="G253" s="5">
        <f t="shared" si="11"/>
        <v>0.10492227979274611</v>
      </c>
    </row>
    <row r="254" spans="1:7" x14ac:dyDescent="0.3">
      <c r="A254" s="1">
        <f t="shared" si="9"/>
        <v>10</v>
      </c>
      <c r="B254" s="3">
        <v>44996</v>
      </c>
      <c r="C254" s="1">
        <v>175</v>
      </c>
      <c r="D254" s="1">
        <v>712</v>
      </c>
      <c r="E254" s="1">
        <v>1544</v>
      </c>
      <c r="F254" s="5">
        <f t="shared" si="10"/>
        <v>0.24578651685393257</v>
      </c>
      <c r="G254" s="5">
        <f t="shared" si="11"/>
        <v>0.1133419689119171</v>
      </c>
    </row>
    <row r="255" spans="1:7" x14ac:dyDescent="0.3">
      <c r="A255" s="1">
        <f t="shared" si="9"/>
        <v>10</v>
      </c>
      <c r="B255" s="3">
        <v>44997</v>
      </c>
      <c r="C255" s="1">
        <v>176</v>
      </c>
      <c r="D255" s="1">
        <v>712</v>
      </c>
      <c r="E255" s="1">
        <v>1544</v>
      </c>
      <c r="F255" s="5">
        <f t="shared" si="10"/>
        <v>0.24719101123595505</v>
      </c>
      <c r="G255" s="5">
        <f t="shared" si="11"/>
        <v>0.11398963730569948</v>
      </c>
    </row>
    <row r="256" spans="1:7" x14ac:dyDescent="0.3">
      <c r="A256" s="1">
        <f t="shared" si="9"/>
        <v>11</v>
      </c>
      <c r="B256" s="3">
        <v>44998</v>
      </c>
      <c r="C256" s="1">
        <v>180</v>
      </c>
      <c r="D256" s="1">
        <v>772</v>
      </c>
      <c r="E256" s="1">
        <v>1544</v>
      </c>
      <c r="F256" s="5">
        <f t="shared" si="10"/>
        <v>0.23316062176165803</v>
      </c>
      <c r="G256" s="5">
        <f t="shared" si="11"/>
        <v>0.11658031088082901</v>
      </c>
    </row>
    <row r="257" spans="1:7" x14ac:dyDescent="0.3">
      <c r="A257" s="1">
        <f t="shared" si="9"/>
        <v>11</v>
      </c>
      <c r="B257" s="3">
        <v>44999</v>
      </c>
      <c r="C257" s="1">
        <v>168</v>
      </c>
      <c r="D257" s="1">
        <v>772</v>
      </c>
      <c r="E257" s="1">
        <v>1544</v>
      </c>
      <c r="F257" s="5">
        <f t="shared" si="10"/>
        <v>0.21761658031088082</v>
      </c>
      <c r="G257" s="5">
        <f t="shared" si="11"/>
        <v>0.10880829015544041</v>
      </c>
    </row>
    <row r="258" spans="1:7" x14ac:dyDescent="0.3">
      <c r="A258" s="1">
        <f t="shared" si="9"/>
        <v>11</v>
      </c>
      <c r="B258" s="3">
        <v>45000</v>
      </c>
      <c r="C258" s="1">
        <v>185</v>
      </c>
      <c r="D258" s="1">
        <v>772</v>
      </c>
      <c r="E258" s="1">
        <v>1544</v>
      </c>
      <c r="F258" s="5">
        <f t="shared" si="10"/>
        <v>0.23963730569948186</v>
      </c>
      <c r="G258" s="5">
        <f t="shared" si="11"/>
        <v>0.11981865284974093</v>
      </c>
    </row>
    <row r="259" spans="1:7" x14ac:dyDescent="0.3">
      <c r="A259" s="1">
        <f t="shared" ref="A259:A304" si="12">_xlfn.ISOWEEKNUM(B259)</f>
        <v>11</v>
      </c>
      <c r="B259" s="3">
        <v>45001</v>
      </c>
      <c r="C259" s="1">
        <v>181</v>
      </c>
      <c r="D259" s="1">
        <v>772</v>
      </c>
      <c r="E259" s="1">
        <v>1544</v>
      </c>
      <c r="F259" s="5">
        <f t="shared" ref="F259:F304" si="13">C259/D259</f>
        <v>0.2344559585492228</v>
      </c>
      <c r="G259" s="5">
        <f t="shared" ref="G259:G304" si="14">C259/E259</f>
        <v>0.1172279792746114</v>
      </c>
    </row>
    <row r="260" spans="1:7" x14ac:dyDescent="0.3">
      <c r="A260" s="1">
        <f t="shared" si="12"/>
        <v>11</v>
      </c>
      <c r="B260" s="3">
        <v>45002</v>
      </c>
      <c r="C260" s="1">
        <v>172</v>
      </c>
      <c r="D260" s="1">
        <v>772</v>
      </c>
      <c r="E260" s="1">
        <v>1544</v>
      </c>
      <c r="F260" s="5">
        <f t="shared" si="13"/>
        <v>0.22279792746113988</v>
      </c>
      <c r="G260" s="5">
        <f t="shared" si="14"/>
        <v>0.11139896373056994</v>
      </c>
    </row>
    <row r="261" spans="1:7" x14ac:dyDescent="0.3">
      <c r="A261" s="1">
        <f t="shared" si="12"/>
        <v>11</v>
      </c>
      <c r="B261" s="3">
        <v>45003</v>
      </c>
      <c r="C261" s="1">
        <v>187</v>
      </c>
      <c r="D261" s="1">
        <v>772</v>
      </c>
      <c r="E261" s="1">
        <v>1544</v>
      </c>
      <c r="F261" s="5">
        <f t="shared" si="13"/>
        <v>0.2422279792746114</v>
      </c>
      <c r="G261" s="5">
        <f t="shared" si="14"/>
        <v>0.1211139896373057</v>
      </c>
    </row>
    <row r="262" spans="1:7" x14ac:dyDescent="0.3">
      <c r="A262" s="1">
        <f t="shared" si="12"/>
        <v>11</v>
      </c>
      <c r="B262" s="3">
        <v>45004</v>
      </c>
      <c r="C262" s="1">
        <v>218</v>
      </c>
      <c r="D262" s="1">
        <v>772</v>
      </c>
      <c r="E262" s="1">
        <v>1544</v>
      </c>
      <c r="F262" s="5">
        <f t="shared" si="13"/>
        <v>0.28238341968911918</v>
      </c>
      <c r="G262" s="5">
        <f t="shared" si="14"/>
        <v>0.14119170984455959</v>
      </c>
    </row>
    <row r="263" spans="1:7" x14ac:dyDescent="0.3">
      <c r="A263" s="1">
        <f t="shared" si="12"/>
        <v>12</v>
      </c>
      <c r="B263" s="3">
        <v>45005</v>
      </c>
      <c r="C263" s="1">
        <v>184</v>
      </c>
      <c r="D263" s="1">
        <v>656</v>
      </c>
      <c r="E263" s="1">
        <v>1544</v>
      </c>
      <c r="F263" s="5">
        <f t="shared" si="13"/>
        <v>0.28048780487804881</v>
      </c>
      <c r="G263" s="5">
        <f t="shared" si="14"/>
        <v>0.11917098445595854</v>
      </c>
    </row>
    <row r="264" spans="1:7" x14ac:dyDescent="0.3">
      <c r="A264" s="1">
        <f t="shared" si="12"/>
        <v>12</v>
      </c>
      <c r="B264" s="3">
        <v>45006</v>
      </c>
      <c r="C264" s="1">
        <v>194</v>
      </c>
      <c r="D264" s="1">
        <v>656</v>
      </c>
      <c r="E264" s="1">
        <v>1544</v>
      </c>
      <c r="F264" s="5">
        <f t="shared" si="13"/>
        <v>0.29573170731707316</v>
      </c>
      <c r="G264" s="5">
        <f t="shared" si="14"/>
        <v>0.12564766839378239</v>
      </c>
    </row>
    <row r="265" spans="1:7" x14ac:dyDescent="0.3">
      <c r="A265" s="1">
        <f t="shared" si="12"/>
        <v>12</v>
      </c>
      <c r="B265" s="3">
        <v>45007</v>
      </c>
      <c r="C265" s="1">
        <v>131</v>
      </c>
      <c r="D265" s="1">
        <v>656</v>
      </c>
      <c r="E265" s="1">
        <v>1544</v>
      </c>
      <c r="F265" s="5">
        <f t="shared" si="13"/>
        <v>0.19969512195121952</v>
      </c>
      <c r="G265" s="5">
        <f t="shared" si="14"/>
        <v>8.4844559585492224E-2</v>
      </c>
    </row>
    <row r="266" spans="1:7" x14ac:dyDescent="0.3">
      <c r="A266" s="1">
        <f t="shared" si="12"/>
        <v>12</v>
      </c>
      <c r="B266" s="3">
        <v>45008</v>
      </c>
      <c r="C266" s="1">
        <v>176</v>
      </c>
      <c r="D266" s="1">
        <v>656</v>
      </c>
      <c r="E266" s="1">
        <v>1544</v>
      </c>
      <c r="F266" s="5">
        <f t="shared" si="13"/>
        <v>0.26829268292682928</v>
      </c>
      <c r="G266" s="5">
        <f t="shared" si="14"/>
        <v>0.11398963730569948</v>
      </c>
    </row>
    <row r="267" spans="1:7" x14ac:dyDescent="0.3">
      <c r="A267" s="1">
        <f t="shared" si="12"/>
        <v>12</v>
      </c>
      <c r="B267" s="3">
        <v>45009</v>
      </c>
      <c r="C267" s="1">
        <v>136</v>
      </c>
      <c r="D267" s="1">
        <v>656</v>
      </c>
      <c r="E267" s="1">
        <v>1544</v>
      </c>
      <c r="F267" s="5">
        <f t="shared" si="13"/>
        <v>0.2073170731707317</v>
      </c>
      <c r="G267" s="5">
        <f t="shared" si="14"/>
        <v>8.8082901554404139E-2</v>
      </c>
    </row>
    <row r="268" spans="1:7" x14ac:dyDescent="0.3">
      <c r="A268" s="1">
        <f t="shared" si="12"/>
        <v>12</v>
      </c>
      <c r="B268" s="3">
        <v>45010</v>
      </c>
      <c r="C268" s="1">
        <v>153</v>
      </c>
      <c r="D268" s="1">
        <v>656</v>
      </c>
      <c r="E268" s="1">
        <v>1544</v>
      </c>
      <c r="F268" s="5">
        <f t="shared" si="13"/>
        <v>0.23323170731707318</v>
      </c>
      <c r="G268" s="5">
        <f t="shared" si="14"/>
        <v>9.9093264248704668E-2</v>
      </c>
    </row>
    <row r="269" spans="1:7" x14ac:dyDescent="0.3">
      <c r="A269" s="1">
        <f t="shared" si="12"/>
        <v>12</v>
      </c>
      <c r="B269" s="3">
        <v>45011</v>
      </c>
      <c r="C269" s="1">
        <v>159</v>
      </c>
      <c r="D269" s="1">
        <v>656</v>
      </c>
      <c r="E269" s="1">
        <v>1544</v>
      </c>
      <c r="F269" s="5">
        <f t="shared" si="13"/>
        <v>0.2423780487804878</v>
      </c>
      <c r="G269" s="5">
        <f t="shared" si="14"/>
        <v>0.10297927461139897</v>
      </c>
    </row>
    <row r="270" spans="1:7" x14ac:dyDescent="0.3">
      <c r="A270" s="1">
        <f t="shared" si="12"/>
        <v>13</v>
      </c>
      <c r="B270" s="3">
        <v>45012</v>
      </c>
      <c r="C270" s="1">
        <v>143</v>
      </c>
      <c r="D270" s="1">
        <v>661</v>
      </c>
      <c r="E270" s="1">
        <v>1544</v>
      </c>
      <c r="F270" s="5">
        <f t="shared" si="13"/>
        <v>0.21633888048411498</v>
      </c>
      <c r="G270" s="5">
        <f t="shared" si="14"/>
        <v>9.2616580310880825E-2</v>
      </c>
    </row>
    <row r="271" spans="1:7" x14ac:dyDescent="0.3">
      <c r="A271" s="1">
        <f t="shared" si="12"/>
        <v>13</v>
      </c>
      <c r="B271" s="3">
        <v>45013</v>
      </c>
      <c r="C271" s="1">
        <v>156</v>
      </c>
      <c r="D271" s="1">
        <v>661</v>
      </c>
      <c r="E271" s="1">
        <v>1544</v>
      </c>
      <c r="F271" s="5">
        <f t="shared" si="13"/>
        <v>0.23600605143721634</v>
      </c>
      <c r="G271" s="5">
        <f t="shared" si="14"/>
        <v>0.10103626943005181</v>
      </c>
    </row>
    <row r="272" spans="1:7" x14ac:dyDescent="0.3">
      <c r="A272" s="1">
        <f t="shared" si="12"/>
        <v>13</v>
      </c>
      <c r="B272" s="3">
        <v>45014</v>
      </c>
      <c r="C272" s="1">
        <v>151</v>
      </c>
      <c r="D272" s="1">
        <v>661</v>
      </c>
      <c r="E272" s="1">
        <v>1544</v>
      </c>
      <c r="F272" s="5">
        <f t="shared" si="13"/>
        <v>0.22844175491679275</v>
      </c>
      <c r="G272" s="5">
        <f t="shared" si="14"/>
        <v>9.7797927461139897E-2</v>
      </c>
    </row>
    <row r="273" spans="1:7" x14ac:dyDescent="0.3">
      <c r="A273" s="1">
        <f t="shared" si="12"/>
        <v>13</v>
      </c>
      <c r="B273" s="3">
        <v>45015</v>
      </c>
      <c r="C273" s="1">
        <v>148</v>
      </c>
      <c r="D273" s="1">
        <v>661</v>
      </c>
      <c r="E273" s="1">
        <v>1544</v>
      </c>
      <c r="F273" s="5">
        <f t="shared" si="13"/>
        <v>0.22390317700453857</v>
      </c>
      <c r="G273" s="5">
        <f t="shared" si="14"/>
        <v>9.585492227979274E-2</v>
      </c>
    </row>
    <row r="274" spans="1:7" x14ac:dyDescent="0.3">
      <c r="A274" s="1">
        <f t="shared" si="12"/>
        <v>13</v>
      </c>
      <c r="B274" s="3">
        <v>45016</v>
      </c>
      <c r="C274" s="1">
        <v>184</v>
      </c>
      <c r="D274" s="1">
        <v>661</v>
      </c>
      <c r="E274" s="1">
        <v>1544</v>
      </c>
      <c r="F274" s="5">
        <f t="shared" si="13"/>
        <v>0.2783661119515885</v>
      </c>
      <c r="G274" s="5">
        <f t="shared" si="14"/>
        <v>0.11917098445595854</v>
      </c>
    </row>
    <row r="275" spans="1:7" x14ac:dyDescent="0.3">
      <c r="A275" s="1">
        <f t="shared" si="12"/>
        <v>13</v>
      </c>
      <c r="B275" s="3">
        <v>45017</v>
      </c>
      <c r="C275" s="1">
        <v>204</v>
      </c>
      <c r="D275" s="1">
        <v>661</v>
      </c>
      <c r="E275" s="1">
        <v>1027</v>
      </c>
      <c r="F275" s="5">
        <f t="shared" si="13"/>
        <v>0.30862329803328292</v>
      </c>
      <c r="G275" s="5">
        <f t="shared" si="14"/>
        <v>0.19863680623174293</v>
      </c>
    </row>
    <row r="276" spans="1:7" x14ac:dyDescent="0.3">
      <c r="A276" s="1">
        <f t="shared" si="12"/>
        <v>13</v>
      </c>
      <c r="B276" s="3">
        <v>45018</v>
      </c>
      <c r="C276" s="1">
        <v>215</v>
      </c>
      <c r="D276" s="1">
        <v>661</v>
      </c>
      <c r="E276" s="1">
        <v>1027</v>
      </c>
      <c r="F276" s="5">
        <f t="shared" si="13"/>
        <v>0.32526475037821484</v>
      </c>
      <c r="G276" s="5">
        <f t="shared" si="14"/>
        <v>0.20934761441090555</v>
      </c>
    </row>
    <row r="277" spans="1:7" x14ac:dyDescent="0.3">
      <c r="A277" s="1">
        <f t="shared" si="12"/>
        <v>14</v>
      </c>
      <c r="B277" s="3">
        <v>45019</v>
      </c>
      <c r="C277" s="1">
        <v>198</v>
      </c>
      <c r="D277" s="1">
        <v>699</v>
      </c>
      <c r="E277" s="1">
        <v>1027</v>
      </c>
      <c r="F277" s="5">
        <f t="shared" si="13"/>
        <v>0.2832618025751073</v>
      </c>
      <c r="G277" s="5">
        <f t="shared" si="14"/>
        <v>0.19279454722492698</v>
      </c>
    </row>
    <row r="278" spans="1:7" x14ac:dyDescent="0.3">
      <c r="A278" s="1">
        <f t="shared" si="12"/>
        <v>14</v>
      </c>
      <c r="B278" s="3">
        <v>45020</v>
      </c>
      <c r="C278" s="1">
        <v>199</v>
      </c>
      <c r="D278" s="1">
        <v>699</v>
      </c>
      <c r="E278" s="1">
        <v>1027</v>
      </c>
      <c r="F278" s="5">
        <f t="shared" si="13"/>
        <v>0.28469241773962806</v>
      </c>
      <c r="G278" s="5">
        <f t="shared" si="14"/>
        <v>0.19376825705939629</v>
      </c>
    </row>
    <row r="279" spans="1:7" x14ac:dyDescent="0.3">
      <c r="A279" s="1">
        <f t="shared" si="12"/>
        <v>14</v>
      </c>
      <c r="B279" s="3">
        <v>45021</v>
      </c>
      <c r="C279" s="1">
        <v>188</v>
      </c>
      <c r="D279" s="1">
        <v>699</v>
      </c>
      <c r="E279" s="1">
        <v>1027</v>
      </c>
      <c r="F279" s="5">
        <f t="shared" si="13"/>
        <v>0.26895565092989987</v>
      </c>
      <c r="G279" s="5">
        <f t="shared" si="14"/>
        <v>0.1830574488802337</v>
      </c>
    </row>
    <row r="280" spans="1:7" x14ac:dyDescent="0.3">
      <c r="A280" s="1">
        <f t="shared" si="12"/>
        <v>14</v>
      </c>
      <c r="B280" s="3">
        <v>45022</v>
      </c>
      <c r="C280" s="1">
        <v>197</v>
      </c>
      <c r="D280" s="1">
        <v>699</v>
      </c>
      <c r="E280" s="1">
        <v>1027</v>
      </c>
      <c r="F280" s="5">
        <f t="shared" si="13"/>
        <v>0.28183118741058655</v>
      </c>
      <c r="G280" s="5">
        <f t="shared" si="14"/>
        <v>0.19182083739045763</v>
      </c>
    </row>
    <row r="281" spans="1:7" x14ac:dyDescent="0.3">
      <c r="A281" s="1">
        <f t="shared" si="12"/>
        <v>14</v>
      </c>
      <c r="B281" s="3">
        <v>45023</v>
      </c>
      <c r="C281" s="1">
        <v>192</v>
      </c>
      <c r="D281" s="1">
        <v>699</v>
      </c>
      <c r="E281" s="1">
        <v>1027</v>
      </c>
      <c r="F281" s="5">
        <f t="shared" si="13"/>
        <v>0.27467811158798283</v>
      </c>
      <c r="G281" s="5">
        <f t="shared" si="14"/>
        <v>0.186952288218111</v>
      </c>
    </row>
    <row r="282" spans="1:7" x14ac:dyDescent="0.3">
      <c r="A282" s="1">
        <f t="shared" si="12"/>
        <v>14</v>
      </c>
      <c r="B282" s="3">
        <v>45024</v>
      </c>
      <c r="C282" s="1">
        <v>200</v>
      </c>
      <c r="D282" s="1">
        <v>699</v>
      </c>
      <c r="E282" s="1">
        <v>1027</v>
      </c>
      <c r="F282" s="5">
        <f t="shared" si="13"/>
        <v>0.28612303290414881</v>
      </c>
      <c r="G282" s="5">
        <f t="shared" si="14"/>
        <v>0.19474196689386564</v>
      </c>
    </row>
    <row r="283" spans="1:7" x14ac:dyDescent="0.3">
      <c r="A283" s="1">
        <f t="shared" si="12"/>
        <v>14</v>
      </c>
      <c r="B283" s="3">
        <v>45025</v>
      </c>
      <c r="C283" s="1">
        <v>192</v>
      </c>
      <c r="D283" s="1">
        <v>699</v>
      </c>
      <c r="E283" s="1">
        <v>1027</v>
      </c>
      <c r="F283" s="5">
        <f t="shared" si="13"/>
        <v>0.27467811158798283</v>
      </c>
      <c r="G283" s="5">
        <f t="shared" si="14"/>
        <v>0.186952288218111</v>
      </c>
    </row>
    <row r="284" spans="1:7" x14ac:dyDescent="0.3">
      <c r="A284" s="1">
        <f t="shared" si="12"/>
        <v>15</v>
      </c>
      <c r="B284" s="3">
        <v>45026</v>
      </c>
      <c r="C284" s="1">
        <v>172</v>
      </c>
      <c r="D284" s="1">
        <v>614</v>
      </c>
      <c r="E284" s="1">
        <v>1027</v>
      </c>
      <c r="F284" s="5">
        <f t="shared" si="13"/>
        <v>0.28013029315960913</v>
      </c>
      <c r="G284" s="5">
        <f t="shared" si="14"/>
        <v>0.16747809152872445</v>
      </c>
    </row>
    <row r="285" spans="1:7" x14ac:dyDescent="0.3">
      <c r="A285" s="1">
        <f t="shared" si="12"/>
        <v>15</v>
      </c>
      <c r="B285" s="3">
        <v>45027</v>
      </c>
      <c r="C285" s="1">
        <v>160</v>
      </c>
      <c r="D285" s="1">
        <v>614</v>
      </c>
      <c r="E285" s="1">
        <v>1027</v>
      </c>
      <c r="F285" s="5">
        <f t="shared" si="13"/>
        <v>0.26058631921824105</v>
      </c>
      <c r="G285" s="5">
        <f t="shared" si="14"/>
        <v>0.15579357351509251</v>
      </c>
    </row>
    <row r="286" spans="1:7" x14ac:dyDescent="0.3">
      <c r="A286" s="1">
        <f t="shared" si="12"/>
        <v>15</v>
      </c>
      <c r="B286" s="3">
        <v>45028</v>
      </c>
      <c r="C286" s="1">
        <v>168</v>
      </c>
      <c r="D286" s="1">
        <v>614</v>
      </c>
      <c r="E286" s="1">
        <v>1027</v>
      </c>
      <c r="F286" s="5">
        <f t="shared" si="13"/>
        <v>0.2736156351791531</v>
      </c>
      <c r="G286" s="5">
        <f t="shared" si="14"/>
        <v>0.16358325219084713</v>
      </c>
    </row>
    <row r="287" spans="1:7" x14ac:dyDescent="0.3">
      <c r="A287" s="1">
        <f t="shared" si="12"/>
        <v>15</v>
      </c>
      <c r="B287" s="3">
        <v>45029</v>
      </c>
      <c r="C287" s="1">
        <v>171</v>
      </c>
      <c r="D287" s="1">
        <v>614</v>
      </c>
      <c r="E287" s="1">
        <v>1027</v>
      </c>
      <c r="F287" s="5">
        <f t="shared" si="13"/>
        <v>0.27850162866449513</v>
      </c>
      <c r="G287" s="5">
        <f t="shared" si="14"/>
        <v>0.1665043816942551</v>
      </c>
    </row>
    <row r="288" spans="1:7" x14ac:dyDescent="0.3">
      <c r="A288" s="1">
        <f t="shared" si="12"/>
        <v>15</v>
      </c>
      <c r="B288" s="3">
        <v>45030</v>
      </c>
      <c r="C288" s="1">
        <v>154</v>
      </c>
      <c r="D288" s="1">
        <v>614</v>
      </c>
      <c r="E288" s="1">
        <v>1027</v>
      </c>
      <c r="F288" s="5">
        <f t="shared" si="13"/>
        <v>0.250814332247557</v>
      </c>
      <c r="G288" s="5">
        <f t="shared" si="14"/>
        <v>0.14995131450827653</v>
      </c>
    </row>
    <row r="289" spans="1:7" x14ac:dyDescent="0.3">
      <c r="A289" s="1">
        <f t="shared" si="12"/>
        <v>15</v>
      </c>
      <c r="B289" s="3">
        <v>45031</v>
      </c>
      <c r="C289" s="1">
        <v>146</v>
      </c>
      <c r="D289" s="1">
        <v>614</v>
      </c>
      <c r="E289" s="1">
        <v>1027</v>
      </c>
      <c r="F289" s="5">
        <f t="shared" si="13"/>
        <v>0.23778501628664495</v>
      </c>
      <c r="G289" s="5">
        <f t="shared" si="14"/>
        <v>0.14216163583252192</v>
      </c>
    </row>
    <row r="290" spans="1:7" x14ac:dyDescent="0.3">
      <c r="A290" s="1">
        <f t="shared" si="12"/>
        <v>15</v>
      </c>
      <c r="B290" s="3">
        <v>45032</v>
      </c>
      <c r="C290" s="1">
        <v>166</v>
      </c>
      <c r="D290" s="1">
        <v>614</v>
      </c>
      <c r="E290" s="1">
        <v>1027</v>
      </c>
      <c r="F290" s="5">
        <f t="shared" si="13"/>
        <v>0.27035830618892509</v>
      </c>
      <c r="G290" s="5">
        <f t="shared" si="14"/>
        <v>0.16163583252190847</v>
      </c>
    </row>
    <row r="291" spans="1:7" x14ac:dyDescent="0.3">
      <c r="A291" s="1">
        <f t="shared" si="12"/>
        <v>16</v>
      </c>
      <c r="B291" s="3">
        <v>45033</v>
      </c>
      <c r="C291" s="1">
        <v>134</v>
      </c>
      <c r="D291" s="1">
        <v>545</v>
      </c>
      <c r="E291" s="1">
        <v>1027</v>
      </c>
      <c r="F291" s="5">
        <f t="shared" si="13"/>
        <v>0.24587155963302754</v>
      </c>
      <c r="G291" s="5">
        <f t="shared" si="14"/>
        <v>0.13047711781888996</v>
      </c>
    </row>
    <row r="292" spans="1:7" x14ac:dyDescent="0.3">
      <c r="A292" s="1">
        <f t="shared" si="12"/>
        <v>16</v>
      </c>
      <c r="B292" s="3">
        <v>45034</v>
      </c>
      <c r="C292" s="1">
        <v>149</v>
      </c>
      <c r="D292" s="1">
        <v>545</v>
      </c>
      <c r="E292" s="1">
        <v>1027</v>
      </c>
      <c r="F292" s="5">
        <f t="shared" si="13"/>
        <v>0.27339449541284405</v>
      </c>
      <c r="G292" s="5">
        <f t="shared" si="14"/>
        <v>0.1450827653359299</v>
      </c>
    </row>
    <row r="293" spans="1:7" x14ac:dyDescent="0.3">
      <c r="A293" s="1">
        <f t="shared" si="12"/>
        <v>16</v>
      </c>
      <c r="B293" s="3">
        <v>45035</v>
      </c>
      <c r="C293" s="1">
        <v>132</v>
      </c>
      <c r="D293" s="1">
        <v>545</v>
      </c>
      <c r="E293" s="1">
        <v>1027</v>
      </c>
      <c r="F293" s="5">
        <f t="shared" si="13"/>
        <v>0.24220183486238533</v>
      </c>
      <c r="G293" s="5">
        <f t="shared" si="14"/>
        <v>0.12852969814995133</v>
      </c>
    </row>
    <row r="294" spans="1:7" x14ac:dyDescent="0.3">
      <c r="A294" s="1">
        <f t="shared" si="12"/>
        <v>16</v>
      </c>
      <c r="B294" s="3">
        <v>45036</v>
      </c>
      <c r="C294" s="1">
        <v>131</v>
      </c>
      <c r="D294" s="1">
        <v>545</v>
      </c>
      <c r="E294" s="1">
        <v>1027</v>
      </c>
      <c r="F294" s="5">
        <f t="shared" si="13"/>
        <v>0.24036697247706423</v>
      </c>
      <c r="G294" s="5">
        <f t="shared" si="14"/>
        <v>0.12755598831548198</v>
      </c>
    </row>
    <row r="295" spans="1:7" x14ac:dyDescent="0.3">
      <c r="A295" s="1">
        <f t="shared" si="12"/>
        <v>16</v>
      </c>
      <c r="B295" s="3">
        <v>45037</v>
      </c>
      <c r="C295" s="1">
        <v>104</v>
      </c>
      <c r="D295" s="1">
        <v>545</v>
      </c>
      <c r="E295" s="1">
        <v>1027</v>
      </c>
      <c r="F295" s="5">
        <f t="shared" si="13"/>
        <v>0.19082568807339451</v>
      </c>
      <c r="G295" s="5">
        <f t="shared" si="14"/>
        <v>0.10126582278481013</v>
      </c>
    </row>
    <row r="296" spans="1:7" x14ac:dyDescent="0.3">
      <c r="A296" s="1">
        <f t="shared" si="12"/>
        <v>16</v>
      </c>
      <c r="B296" s="3">
        <v>45038</v>
      </c>
      <c r="C296" s="1">
        <v>105</v>
      </c>
      <c r="D296" s="1">
        <v>545</v>
      </c>
      <c r="E296" s="1">
        <v>1027</v>
      </c>
      <c r="F296" s="5">
        <f t="shared" si="13"/>
        <v>0.19266055045871561</v>
      </c>
      <c r="G296" s="5">
        <f t="shared" si="14"/>
        <v>0.10223953261927946</v>
      </c>
    </row>
    <row r="297" spans="1:7" x14ac:dyDescent="0.3">
      <c r="A297" s="1">
        <f t="shared" si="12"/>
        <v>16</v>
      </c>
      <c r="B297" s="3">
        <v>45039</v>
      </c>
      <c r="C297" s="1">
        <v>105</v>
      </c>
      <c r="D297" s="1">
        <v>545</v>
      </c>
      <c r="E297" s="1">
        <v>1027</v>
      </c>
      <c r="F297" s="5">
        <f t="shared" si="13"/>
        <v>0.19266055045871561</v>
      </c>
      <c r="G297" s="5">
        <f t="shared" si="14"/>
        <v>0.10223953261927946</v>
      </c>
    </row>
    <row r="298" spans="1:7" x14ac:dyDescent="0.3">
      <c r="A298" s="1">
        <f t="shared" si="12"/>
        <v>17</v>
      </c>
      <c r="B298" s="3">
        <v>45040</v>
      </c>
      <c r="C298" s="1">
        <v>90</v>
      </c>
      <c r="D298" s="1">
        <v>422</v>
      </c>
      <c r="E298" s="1">
        <v>1027</v>
      </c>
      <c r="F298" s="5">
        <f t="shared" si="13"/>
        <v>0.2132701421800948</v>
      </c>
      <c r="G298" s="5">
        <f t="shared" si="14"/>
        <v>8.7633885102239531E-2</v>
      </c>
    </row>
    <row r="299" spans="1:7" x14ac:dyDescent="0.3">
      <c r="A299" s="1">
        <f t="shared" si="12"/>
        <v>17</v>
      </c>
      <c r="B299" s="3">
        <v>45041</v>
      </c>
      <c r="C299" s="1">
        <v>101</v>
      </c>
      <c r="D299" s="1">
        <v>422</v>
      </c>
      <c r="E299" s="1">
        <v>1027</v>
      </c>
      <c r="F299" s="5">
        <f t="shared" si="13"/>
        <v>0.23933649289099526</v>
      </c>
      <c r="G299" s="5">
        <f t="shared" si="14"/>
        <v>9.8344693281402148E-2</v>
      </c>
    </row>
    <row r="300" spans="1:7" x14ac:dyDescent="0.3">
      <c r="A300" s="1">
        <f t="shared" si="12"/>
        <v>17</v>
      </c>
      <c r="B300" s="3">
        <v>45042</v>
      </c>
      <c r="C300" s="1">
        <v>92</v>
      </c>
      <c r="D300" s="1">
        <v>422</v>
      </c>
      <c r="E300" s="1">
        <v>1027</v>
      </c>
      <c r="F300" s="5">
        <f t="shared" si="13"/>
        <v>0.21800947867298578</v>
      </c>
      <c r="G300" s="5">
        <f t="shared" si="14"/>
        <v>8.9581304771178191E-2</v>
      </c>
    </row>
    <row r="301" spans="1:7" x14ac:dyDescent="0.3">
      <c r="A301" s="1">
        <f t="shared" si="12"/>
        <v>17</v>
      </c>
      <c r="B301" s="3">
        <v>45043</v>
      </c>
      <c r="C301" s="1">
        <v>68</v>
      </c>
      <c r="D301" s="1">
        <v>422</v>
      </c>
      <c r="E301" s="1">
        <v>1027</v>
      </c>
      <c r="F301" s="5">
        <f t="shared" si="13"/>
        <v>0.16113744075829384</v>
      </c>
      <c r="G301" s="5">
        <f t="shared" si="14"/>
        <v>6.621226874391431E-2</v>
      </c>
    </row>
    <row r="302" spans="1:7" x14ac:dyDescent="0.3">
      <c r="A302" s="1">
        <f t="shared" si="12"/>
        <v>17</v>
      </c>
      <c r="B302" s="3">
        <v>45044</v>
      </c>
      <c r="C302" s="1">
        <v>75</v>
      </c>
      <c r="D302" s="1">
        <v>422</v>
      </c>
      <c r="E302" s="1">
        <v>1027</v>
      </c>
      <c r="F302" s="5">
        <f t="shared" si="13"/>
        <v>0.17772511848341233</v>
      </c>
      <c r="G302" s="5">
        <f t="shared" si="14"/>
        <v>7.3028237585199607E-2</v>
      </c>
    </row>
    <row r="303" spans="1:7" x14ac:dyDescent="0.3">
      <c r="A303" s="1">
        <f t="shared" si="12"/>
        <v>17</v>
      </c>
      <c r="B303" s="3">
        <v>45045</v>
      </c>
      <c r="C303" s="1">
        <v>73</v>
      </c>
      <c r="D303" s="1">
        <v>422</v>
      </c>
      <c r="E303" s="1">
        <v>1027</v>
      </c>
      <c r="F303" s="5">
        <f t="shared" si="13"/>
        <v>0.17298578199052134</v>
      </c>
      <c r="G303" s="5">
        <f t="shared" si="14"/>
        <v>7.108081791626096E-2</v>
      </c>
    </row>
    <row r="304" spans="1:7" x14ac:dyDescent="0.3">
      <c r="A304" s="1">
        <f t="shared" si="12"/>
        <v>17</v>
      </c>
      <c r="B304" s="3">
        <v>45046</v>
      </c>
      <c r="C304" s="1">
        <v>71</v>
      </c>
      <c r="D304" s="1">
        <v>422</v>
      </c>
      <c r="E304" s="1">
        <v>1027</v>
      </c>
      <c r="F304" s="5">
        <f t="shared" si="13"/>
        <v>0.16824644549763032</v>
      </c>
      <c r="G304" s="5">
        <f t="shared" si="14"/>
        <v>6.91333982473223E-2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8BC6-4EBC-4D6C-AB59-6F698BFB617B}">
  <dimension ref="A1:L51"/>
  <sheetViews>
    <sheetView workbookViewId="0">
      <selection activeCell="Q16" sqref="Q16"/>
    </sheetView>
  </sheetViews>
  <sheetFormatPr defaultRowHeight="14.4" x14ac:dyDescent="0.3"/>
  <cols>
    <col min="1" max="1" width="14.21875" style="2" bestFit="1" customWidth="1"/>
    <col min="2" max="5" width="8.88671875" style="2"/>
    <col min="6" max="6" width="22.5546875" style="2" bestFit="1" customWidth="1"/>
    <col min="7" max="7" width="20.33203125" style="2" bestFit="1" customWidth="1"/>
    <col min="8" max="8" width="8.5546875" style="2" bestFit="1" customWidth="1"/>
    <col min="9" max="9" width="8.77734375" style="2" bestFit="1" customWidth="1"/>
    <col min="10" max="10" width="9.109375" style="2" bestFit="1" customWidth="1"/>
    <col min="11" max="11" width="8.109375" style="2" bestFit="1" customWidth="1"/>
    <col min="12" max="12" width="11.33203125" style="2" bestFit="1" customWidth="1"/>
    <col min="13" max="16384" width="8.88671875" style="2"/>
  </cols>
  <sheetData>
    <row r="1" spans="1:12" x14ac:dyDescent="0.3">
      <c r="A1" s="2" t="s">
        <v>2</v>
      </c>
      <c r="B1" s="2" t="s">
        <v>22</v>
      </c>
      <c r="C1" s="2" t="s">
        <v>23</v>
      </c>
    </row>
    <row r="2" spans="1:12" x14ac:dyDescent="0.3">
      <c r="A2" s="9">
        <v>44743</v>
      </c>
      <c r="B2" s="2" t="s">
        <v>24</v>
      </c>
      <c r="C2" s="2">
        <v>11500</v>
      </c>
      <c r="F2" s="2" t="s">
        <v>25</v>
      </c>
      <c r="G2" s="2" t="s">
        <v>26</v>
      </c>
    </row>
    <row r="3" spans="1:12" x14ac:dyDescent="0.3">
      <c r="A3" s="9">
        <v>44774</v>
      </c>
      <c r="B3" s="2" t="s">
        <v>24</v>
      </c>
      <c r="C3" s="2">
        <v>14750</v>
      </c>
      <c r="F3" s="2" t="s">
        <v>27</v>
      </c>
      <c r="G3" s="2" t="s">
        <v>24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</row>
    <row r="4" spans="1:12" x14ac:dyDescent="0.3">
      <c r="A4" s="9">
        <v>44805</v>
      </c>
      <c r="B4" s="2" t="s">
        <v>24</v>
      </c>
      <c r="C4" s="2">
        <v>18500</v>
      </c>
      <c r="F4" s="10" t="s">
        <v>33</v>
      </c>
      <c r="G4" s="2">
        <v>94500</v>
      </c>
      <c r="H4" s="2">
        <v>160270</v>
      </c>
      <c r="I4" s="2">
        <v>106400</v>
      </c>
      <c r="J4" s="2">
        <v>52514</v>
      </c>
      <c r="K4" s="2">
        <v>7122</v>
      </c>
      <c r="L4" s="2">
        <v>420806</v>
      </c>
    </row>
    <row r="5" spans="1:12" x14ac:dyDescent="0.3">
      <c r="A5" s="9">
        <v>44835</v>
      </c>
      <c r="B5" s="2" t="s">
        <v>24</v>
      </c>
      <c r="C5" s="2">
        <v>16250</v>
      </c>
      <c r="F5" s="11" t="s">
        <v>34</v>
      </c>
      <c r="G5" s="2">
        <v>11500</v>
      </c>
      <c r="H5" s="2">
        <v>12930</v>
      </c>
      <c r="I5" s="2">
        <v>14700</v>
      </c>
      <c r="J5" s="2">
        <v>9485</v>
      </c>
      <c r="K5" s="2">
        <v>798</v>
      </c>
      <c r="L5" s="2">
        <v>49413</v>
      </c>
    </row>
    <row r="6" spans="1:12" x14ac:dyDescent="0.3">
      <c r="A6" s="9">
        <v>44866</v>
      </c>
      <c r="B6" s="2" t="s">
        <v>24</v>
      </c>
      <c r="C6" s="2">
        <v>22250</v>
      </c>
      <c r="F6" s="11" t="s">
        <v>35</v>
      </c>
      <c r="G6" s="2">
        <v>14750</v>
      </c>
      <c r="H6" s="2">
        <v>39170</v>
      </c>
      <c r="I6" s="2">
        <v>11900</v>
      </c>
      <c r="J6" s="2">
        <v>11681</v>
      </c>
      <c r="K6" s="2">
        <v>1270</v>
      </c>
      <c r="L6" s="2">
        <v>78771</v>
      </c>
    </row>
    <row r="7" spans="1:12" x14ac:dyDescent="0.3">
      <c r="A7" s="9">
        <v>44896</v>
      </c>
      <c r="B7" s="2" t="s">
        <v>24</v>
      </c>
      <c r="C7" s="2">
        <v>11250</v>
      </c>
      <c r="F7" s="11" t="s">
        <v>36</v>
      </c>
      <c r="G7" s="2">
        <v>18500</v>
      </c>
      <c r="H7" s="2">
        <v>25580</v>
      </c>
      <c r="I7" s="2">
        <v>21800</v>
      </c>
      <c r="J7" s="2">
        <v>5291</v>
      </c>
      <c r="K7" s="2">
        <v>2039</v>
      </c>
      <c r="L7" s="2">
        <v>73210</v>
      </c>
    </row>
    <row r="8" spans="1:12" x14ac:dyDescent="0.3">
      <c r="A8" s="9">
        <v>44927</v>
      </c>
      <c r="B8" s="2" t="s">
        <v>24</v>
      </c>
      <c r="C8" s="2">
        <v>31000</v>
      </c>
      <c r="F8" s="11" t="s">
        <v>37</v>
      </c>
      <c r="G8" s="2">
        <v>16250</v>
      </c>
      <c r="H8" s="2">
        <v>31280</v>
      </c>
      <c r="I8" s="2">
        <v>18800</v>
      </c>
      <c r="J8" s="2">
        <v>9584</v>
      </c>
      <c r="K8" s="2">
        <v>599</v>
      </c>
      <c r="L8" s="2">
        <v>76513</v>
      </c>
    </row>
    <row r="9" spans="1:12" x14ac:dyDescent="0.3">
      <c r="A9" s="9">
        <v>44958</v>
      </c>
      <c r="B9" s="2" t="s">
        <v>24</v>
      </c>
      <c r="C9" s="2">
        <v>32500</v>
      </c>
      <c r="F9" s="11" t="s">
        <v>38</v>
      </c>
      <c r="G9" s="2">
        <v>22250</v>
      </c>
      <c r="H9" s="2">
        <v>24580</v>
      </c>
      <c r="I9" s="2">
        <v>20400</v>
      </c>
      <c r="J9" s="2">
        <v>10782</v>
      </c>
      <c r="K9" s="2">
        <v>1807</v>
      </c>
      <c r="L9" s="2">
        <v>79819</v>
      </c>
    </row>
    <row r="10" spans="1:12" x14ac:dyDescent="0.3">
      <c r="A10" s="9">
        <v>44986</v>
      </c>
      <c r="B10" s="2" t="s">
        <v>24</v>
      </c>
      <c r="C10" s="2">
        <v>49000</v>
      </c>
      <c r="F10" s="11" t="s">
        <v>39</v>
      </c>
      <c r="G10" s="2">
        <v>11250</v>
      </c>
      <c r="H10" s="2">
        <v>26730</v>
      </c>
      <c r="I10" s="2">
        <v>18800</v>
      </c>
      <c r="J10" s="2">
        <v>5691</v>
      </c>
      <c r="K10" s="2">
        <v>609</v>
      </c>
      <c r="L10" s="2">
        <v>63080</v>
      </c>
    </row>
    <row r="11" spans="1:12" x14ac:dyDescent="0.3">
      <c r="A11" s="9">
        <v>45017</v>
      </c>
      <c r="B11" s="2" t="s">
        <v>24</v>
      </c>
      <c r="C11" s="2">
        <v>16750</v>
      </c>
      <c r="F11" s="10" t="s">
        <v>40</v>
      </c>
      <c r="G11" s="2">
        <v>129250</v>
      </c>
      <c r="H11" s="2">
        <v>240720</v>
      </c>
      <c r="I11" s="2">
        <v>130200</v>
      </c>
      <c r="J11" s="2">
        <v>54607</v>
      </c>
      <c r="K11" s="2">
        <v>10661</v>
      </c>
      <c r="L11" s="2">
        <v>565438</v>
      </c>
    </row>
    <row r="12" spans="1:12" x14ac:dyDescent="0.3">
      <c r="A12" s="9">
        <v>44743</v>
      </c>
      <c r="B12" s="2" t="s">
        <v>28</v>
      </c>
      <c r="C12" s="2">
        <v>12930</v>
      </c>
      <c r="F12" s="11" t="s">
        <v>41</v>
      </c>
      <c r="G12" s="2">
        <v>31000</v>
      </c>
      <c r="H12" s="2">
        <v>49300</v>
      </c>
      <c r="I12" s="2">
        <v>27000</v>
      </c>
      <c r="J12" s="2">
        <v>15374</v>
      </c>
      <c r="K12" s="2">
        <v>4064</v>
      </c>
      <c r="L12" s="2">
        <v>126738</v>
      </c>
    </row>
    <row r="13" spans="1:12" x14ac:dyDescent="0.3">
      <c r="A13" s="9">
        <v>44774</v>
      </c>
      <c r="B13" s="2" t="s">
        <v>28</v>
      </c>
      <c r="C13" s="2">
        <v>39170</v>
      </c>
      <c r="F13" s="11" t="s">
        <v>42</v>
      </c>
      <c r="G13" s="2">
        <v>32500</v>
      </c>
      <c r="H13" s="2">
        <v>45180</v>
      </c>
      <c r="I13" s="2">
        <v>30200</v>
      </c>
      <c r="J13" s="2">
        <v>15374</v>
      </c>
      <c r="K13" s="2">
        <v>1258</v>
      </c>
      <c r="L13" s="2">
        <v>124512</v>
      </c>
    </row>
    <row r="14" spans="1:12" x14ac:dyDescent="0.3">
      <c r="A14" s="9">
        <v>44805</v>
      </c>
      <c r="B14" s="2" t="s">
        <v>28</v>
      </c>
      <c r="C14" s="2">
        <v>25580</v>
      </c>
      <c r="F14" s="11" t="s">
        <v>43</v>
      </c>
      <c r="G14" s="2">
        <v>49000</v>
      </c>
      <c r="H14" s="2">
        <v>106440</v>
      </c>
      <c r="I14" s="2">
        <v>46500</v>
      </c>
      <c r="J14" s="2">
        <v>13578</v>
      </c>
      <c r="K14" s="2">
        <v>3670</v>
      </c>
      <c r="L14" s="2">
        <v>219188</v>
      </c>
    </row>
    <row r="15" spans="1:12" x14ac:dyDescent="0.3">
      <c r="A15" s="9">
        <v>44835</v>
      </c>
      <c r="B15" s="2" t="s">
        <v>28</v>
      </c>
      <c r="C15" s="2">
        <v>31280</v>
      </c>
      <c r="F15" s="11" t="s">
        <v>44</v>
      </c>
      <c r="G15" s="2">
        <v>16750</v>
      </c>
      <c r="H15" s="2">
        <v>39800</v>
      </c>
      <c r="I15" s="2">
        <v>26500</v>
      </c>
      <c r="J15" s="2">
        <v>10281</v>
      </c>
      <c r="K15" s="2">
        <v>1669</v>
      </c>
      <c r="L15" s="2">
        <v>95000</v>
      </c>
    </row>
    <row r="16" spans="1:12" x14ac:dyDescent="0.3">
      <c r="A16" s="9">
        <v>44866</v>
      </c>
      <c r="B16" s="2" t="s">
        <v>28</v>
      </c>
      <c r="C16" s="2">
        <v>24580</v>
      </c>
      <c r="F16" s="10" t="s">
        <v>32</v>
      </c>
      <c r="G16" s="2">
        <v>223750</v>
      </c>
      <c r="H16" s="2">
        <v>400990</v>
      </c>
      <c r="I16" s="2">
        <v>236600</v>
      </c>
      <c r="J16" s="2">
        <v>107121</v>
      </c>
      <c r="K16" s="2">
        <v>17783</v>
      </c>
      <c r="L16" s="2">
        <v>986244</v>
      </c>
    </row>
    <row r="17" spans="1:3" x14ac:dyDescent="0.3">
      <c r="A17" s="9">
        <v>44896</v>
      </c>
      <c r="B17" s="2" t="s">
        <v>28</v>
      </c>
      <c r="C17" s="2">
        <v>26730</v>
      </c>
    </row>
    <row r="18" spans="1:3" x14ac:dyDescent="0.3">
      <c r="A18" s="9">
        <v>44927</v>
      </c>
      <c r="B18" s="2" t="s">
        <v>28</v>
      </c>
      <c r="C18" s="2">
        <v>49300</v>
      </c>
    </row>
    <row r="19" spans="1:3" x14ac:dyDescent="0.3">
      <c r="A19" s="9">
        <v>44958</v>
      </c>
      <c r="B19" s="2" t="s">
        <v>28</v>
      </c>
      <c r="C19" s="2">
        <v>45180</v>
      </c>
    </row>
    <row r="20" spans="1:3" x14ac:dyDescent="0.3">
      <c r="A20" s="9">
        <v>44986</v>
      </c>
      <c r="B20" s="2" t="s">
        <v>28</v>
      </c>
      <c r="C20" s="2">
        <v>106440</v>
      </c>
    </row>
    <row r="21" spans="1:3" x14ac:dyDescent="0.3">
      <c r="A21" s="9">
        <v>45017</v>
      </c>
      <c r="B21" s="2" t="s">
        <v>28</v>
      </c>
      <c r="C21" s="2">
        <v>39800</v>
      </c>
    </row>
    <row r="22" spans="1:3" x14ac:dyDescent="0.3">
      <c r="A22" s="9">
        <v>44743</v>
      </c>
      <c r="B22" s="2" t="s">
        <v>29</v>
      </c>
      <c r="C22" s="2">
        <v>14700</v>
      </c>
    </row>
    <row r="23" spans="1:3" x14ac:dyDescent="0.3">
      <c r="A23" s="9">
        <v>44774</v>
      </c>
      <c r="B23" s="2" t="s">
        <v>29</v>
      </c>
      <c r="C23" s="2">
        <v>11900</v>
      </c>
    </row>
    <row r="24" spans="1:3" x14ac:dyDescent="0.3">
      <c r="A24" s="9">
        <v>44805</v>
      </c>
      <c r="B24" s="2" t="s">
        <v>29</v>
      </c>
      <c r="C24" s="2">
        <v>21800</v>
      </c>
    </row>
    <row r="25" spans="1:3" x14ac:dyDescent="0.3">
      <c r="A25" s="9">
        <v>44835</v>
      </c>
      <c r="B25" s="2" t="s">
        <v>29</v>
      </c>
      <c r="C25" s="2">
        <v>18800</v>
      </c>
    </row>
    <row r="26" spans="1:3" x14ac:dyDescent="0.3">
      <c r="A26" s="9">
        <v>44866</v>
      </c>
      <c r="B26" s="2" t="s">
        <v>29</v>
      </c>
      <c r="C26" s="2">
        <v>20400</v>
      </c>
    </row>
    <row r="27" spans="1:3" x14ac:dyDescent="0.3">
      <c r="A27" s="9">
        <v>44896</v>
      </c>
      <c r="B27" s="2" t="s">
        <v>29</v>
      </c>
      <c r="C27" s="2">
        <v>18800</v>
      </c>
    </row>
    <row r="28" spans="1:3" x14ac:dyDescent="0.3">
      <c r="A28" s="9">
        <v>44927</v>
      </c>
      <c r="B28" s="2" t="s">
        <v>29</v>
      </c>
      <c r="C28" s="2">
        <v>27000</v>
      </c>
    </row>
    <row r="29" spans="1:3" x14ac:dyDescent="0.3">
      <c r="A29" s="9">
        <v>44958</v>
      </c>
      <c r="B29" s="2" t="s">
        <v>29</v>
      </c>
      <c r="C29" s="2">
        <v>30200</v>
      </c>
    </row>
    <row r="30" spans="1:3" x14ac:dyDescent="0.3">
      <c r="A30" s="9">
        <v>44986</v>
      </c>
      <c r="B30" s="2" t="s">
        <v>29</v>
      </c>
      <c r="C30" s="2">
        <v>46500</v>
      </c>
    </row>
    <row r="31" spans="1:3" x14ac:dyDescent="0.3">
      <c r="A31" s="9">
        <v>45017</v>
      </c>
      <c r="B31" s="2" t="s">
        <v>29</v>
      </c>
      <c r="C31" s="2">
        <v>26500</v>
      </c>
    </row>
    <row r="32" spans="1:3" x14ac:dyDescent="0.3">
      <c r="A32" s="9">
        <v>44743</v>
      </c>
      <c r="B32" s="2" t="s">
        <v>30</v>
      </c>
      <c r="C32" s="2">
        <v>9485</v>
      </c>
    </row>
    <row r="33" spans="1:3" x14ac:dyDescent="0.3">
      <c r="A33" s="9">
        <v>44774</v>
      </c>
      <c r="B33" s="2" t="s">
        <v>30</v>
      </c>
      <c r="C33" s="2">
        <v>11681</v>
      </c>
    </row>
    <row r="34" spans="1:3" x14ac:dyDescent="0.3">
      <c r="A34" s="9">
        <v>44805</v>
      </c>
      <c r="B34" s="2" t="s">
        <v>30</v>
      </c>
      <c r="C34" s="2">
        <v>5291</v>
      </c>
    </row>
    <row r="35" spans="1:3" x14ac:dyDescent="0.3">
      <c r="A35" s="9">
        <v>44835</v>
      </c>
      <c r="B35" s="2" t="s">
        <v>30</v>
      </c>
      <c r="C35" s="2">
        <v>9584</v>
      </c>
    </row>
    <row r="36" spans="1:3" x14ac:dyDescent="0.3">
      <c r="A36" s="9">
        <v>44866</v>
      </c>
      <c r="B36" s="2" t="s">
        <v>30</v>
      </c>
      <c r="C36" s="2">
        <v>10782</v>
      </c>
    </row>
    <row r="37" spans="1:3" x14ac:dyDescent="0.3">
      <c r="A37" s="9">
        <v>44896</v>
      </c>
      <c r="B37" s="2" t="s">
        <v>30</v>
      </c>
      <c r="C37" s="2">
        <v>5691</v>
      </c>
    </row>
    <row r="38" spans="1:3" x14ac:dyDescent="0.3">
      <c r="A38" s="9">
        <v>44927</v>
      </c>
      <c r="B38" s="2" t="s">
        <v>30</v>
      </c>
      <c r="C38" s="2">
        <v>15374</v>
      </c>
    </row>
    <row r="39" spans="1:3" x14ac:dyDescent="0.3">
      <c r="A39" s="9">
        <v>44958</v>
      </c>
      <c r="B39" s="2" t="s">
        <v>30</v>
      </c>
      <c r="C39" s="2">
        <v>15374</v>
      </c>
    </row>
    <row r="40" spans="1:3" x14ac:dyDescent="0.3">
      <c r="A40" s="9">
        <v>44986</v>
      </c>
      <c r="B40" s="2" t="s">
        <v>30</v>
      </c>
      <c r="C40" s="2">
        <v>13578</v>
      </c>
    </row>
    <row r="41" spans="1:3" x14ac:dyDescent="0.3">
      <c r="A41" s="9">
        <v>45017</v>
      </c>
      <c r="B41" s="2" t="s">
        <v>30</v>
      </c>
      <c r="C41" s="2">
        <v>10281</v>
      </c>
    </row>
    <row r="42" spans="1:3" x14ac:dyDescent="0.3">
      <c r="A42" s="9">
        <v>44743</v>
      </c>
      <c r="B42" s="2" t="s">
        <v>31</v>
      </c>
      <c r="C42" s="2">
        <v>798</v>
      </c>
    </row>
    <row r="43" spans="1:3" x14ac:dyDescent="0.3">
      <c r="A43" s="9">
        <v>44774</v>
      </c>
      <c r="B43" s="2" t="s">
        <v>31</v>
      </c>
      <c r="C43" s="2">
        <v>1270</v>
      </c>
    </row>
    <row r="44" spans="1:3" x14ac:dyDescent="0.3">
      <c r="A44" s="9">
        <v>44805</v>
      </c>
      <c r="B44" s="2" t="s">
        <v>31</v>
      </c>
      <c r="C44" s="2">
        <v>2039</v>
      </c>
    </row>
    <row r="45" spans="1:3" x14ac:dyDescent="0.3">
      <c r="A45" s="9">
        <v>44835</v>
      </c>
      <c r="B45" s="2" t="s">
        <v>31</v>
      </c>
      <c r="C45" s="2">
        <v>599</v>
      </c>
    </row>
    <row r="46" spans="1:3" x14ac:dyDescent="0.3">
      <c r="A46" s="9">
        <v>44866</v>
      </c>
      <c r="B46" s="2" t="s">
        <v>31</v>
      </c>
      <c r="C46" s="2">
        <v>1807</v>
      </c>
    </row>
    <row r="47" spans="1:3" x14ac:dyDescent="0.3">
      <c r="A47" s="9">
        <v>44896</v>
      </c>
      <c r="B47" s="2" t="s">
        <v>31</v>
      </c>
      <c r="C47" s="2">
        <v>609</v>
      </c>
    </row>
    <row r="48" spans="1:3" x14ac:dyDescent="0.3">
      <c r="A48" s="9">
        <v>44927</v>
      </c>
      <c r="B48" s="2" t="s">
        <v>31</v>
      </c>
      <c r="C48" s="2">
        <v>4064</v>
      </c>
    </row>
    <row r="49" spans="1:3" x14ac:dyDescent="0.3">
      <c r="A49" s="9">
        <v>44958</v>
      </c>
      <c r="B49" s="2" t="s">
        <v>31</v>
      </c>
      <c r="C49" s="2">
        <v>1258</v>
      </c>
    </row>
    <row r="50" spans="1:3" x14ac:dyDescent="0.3">
      <c r="A50" s="9">
        <v>44986</v>
      </c>
      <c r="B50" s="2" t="s">
        <v>31</v>
      </c>
      <c r="C50" s="2">
        <v>3670</v>
      </c>
    </row>
    <row r="51" spans="1:3" x14ac:dyDescent="0.3">
      <c r="A51" s="9">
        <v>45017</v>
      </c>
      <c r="B51" s="2" t="s">
        <v>31</v>
      </c>
      <c r="C51" s="2">
        <v>1669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43F4-B39F-48F5-94A1-003C5F0241C0}">
  <dimension ref="A1:C12"/>
  <sheetViews>
    <sheetView workbookViewId="0">
      <selection activeCell="G20" sqref="G20"/>
    </sheetView>
  </sheetViews>
  <sheetFormatPr defaultRowHeight="14.4" x14ac:dyDescent="0.3"/>
  <cols>
    <col min="1" max="1" width="14.77734375" style="2" customWidth="1"/>
    <col min="2" max="2" width="15.109375" style="2" customWidth="1"/>
    <col min="3" max="16384" width="8.88671875" style="2"/>
  </cols>
  <sheetData>
    <row r="1" spans="1:3" ht="57.6" x14ac:dyDescent="0.3">
      <c r="A1" s="12" t="s">
        <v>2</v>
      </c>
      <c r="B1" s="12" t="s">
        <v>45</v>
      </c>
      <c r="C1" s="12" t="s">
        <v>46</v>
      </c>
    </row>
    <row r="2" spans="1:3" x14ac:dyDescent="0.3">
      <c r="A2" s="13" t="s">
        <v>47</v>
      </c>
      <c r="B2" s="4">
        <v>29</v>
      </c>
      <c r="C2" s="1">
        <v>4930</v>
      </c>
    </row>
    <row r="3" spans="1:3" x14ac:dyDescent="0.3">
      <c r="A3" s="13" t="s">
        <v>48</v>
      </c>
      <c r="B3" s="4">
        <v>31.5625</v>
      </c>
      <c r="C3" s="1">
        <v>17170</v>
      </c>
    </row>
    <row r="4" spans="1:3" x14ac:dyDescent="0.3">
      <c r="A4" s="13" t="s">
        <v>49</v>
      </c>
      <c r="B4" s="4">
        <v>32.173913043478258</v>
      </c>
      <c r="C4" s="1">
        <v>12580</v>
      </c>
    </row>
    <row r="5" spans="1:3" x14ac:dyDescent="0.3">
      <c r="A5" s="13" t="s">
        <v>50</v>
      </c>
      <c r="B5" s="4">
        <v>28</v>
      </c>
      <c r="C5" s="1">
        <v>14280</v>
      </c>
    </row>
    <row r="6" spans="1:3" x14ac:dyDescent="0.3">
      <c r="A6" s="13" t="s">
        <v>51</v>
      </c>
      <c r="B6" s="4">
        <v>29.6</v>
      </c>
      <c r="C6" s="1">
        <v>12580</v>
      </c>
    </row>
    <row r="7" spans="1:3" x14ac:dyDescent="0.3">
      <c r="A7" s="13" t="s">
        <v>52</v>
      </c>
      <c r="B7" s="4">
        <v>30</v>
      </c>
      <c r="C7" s="1">
        <v>11730</v>
      </c>
    </row>
    <row r="8" spans="1:3" x14ac:dyDescent="0.3">
      <c r="A8" s="13" t="s">
        <v>53</v>
      </c>
      <c r="B8" s="4">
        <v>19.117647058823529</v>
      </c>
      <c r="C8" s="1">
        <v>14300</v>
      </c>
    </row>
    <row r="9" spans="1:3" x14ac:dyDescent="0.3">
      <c r="A9" s="13" t="s">
        <v>54</v>
      </c>
      <c r="B9" s="4">
        <v>17.352941176470587</v>
      </c>
      <c r="C9" s="1">
        <v>12980</v>
      </c>
    </row>
    <row r="10" spans="1:3" x14ac:dyDescent="0.3">
      <c r="A10" s="13" t="s">
        <v>55</v>
      </c>
      <c r="B10" s="4">
        <v>22.051282051282051</v>
      </c>
      <c r="C10" s="1">
        <v>37840</v>
      </c>
    </row>
    <row r="11" spans="1:3" x14ac:dyDescent="0.3">
      <c r="A11" s="13" t="s">
        <v>56</v>
      </c>
      <c r="B11" s="4">
        <v>23.076923076923077</v>
      </c>
      <c r="C11" s="1">
        <v>13200</v>
      </c>
    </row>
    <row r="12" spans="1:3" x14ac:dyDescent="0.3">
      <c r="A12" s="1"/>
      <c r="B12" s="1"/>
      <c r="C12" s="1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1F13-CD6D-4A1D-BCF9-2D15A1EAE248}">
  <dimension ref="A1:F26"/>
  <sheetViews>
    <sheetView workbookViewId="0">
      <selection activeCell="A26" sqref="A26"/>
    </sheetView>
  </sheetViews>
  <sheetFormatPr defaultRowHeight="14.4" x14ac:dyDescent="0.3"/>
  <cols>
    <col min="1" max="1" width="14.21875" style="1" bestFit="1" customWidth="1"/>
    <col min="2" max="2" width="8.5546875" style="1" customWidth="1"/>
    <col min="3" max="3" width="10.88671875" style="1" bestFit="1" customWidth="1"/>
    <col min="4" max="4" width="20.21875" style="1" customWidth="1"/>
    <col min="5" max="5" width="12" style="1" bestFit="1" customWidth="1"/>
    <col min="6" max="6" width="17.5546875" style="1" bestFit="1" customWidth="1"/>
    <col min="7" max="16384" width="8.88671875" style="2"/>
  </cols>
  <sheetData>
    <row r="1" spans="1:6" s="14" customFormat="1" ht="43.2" x14ac:dyDescent="0.3">
      <c r="A1" s="12" t="s">
        <v>57</v>
      </c>
      <c r="B1" s="12" t="s">
        <v>23</v>
      </c>
      <c r="C1" s="12" t="s">
        <v>1</v>
      </c>
      <c r="D1" s="12" t="s">
        <v>58</v>
      </c>
      <c r="E1" s="12" t="s">
        <v>59</v>
      </c>
      <c r="F1" s="12" t="s">
        <v>60</v>
      </c>
    </row>
    <row r="2" spans="1:6" x14ac:dyDescent="0.3">
      <c r="A2" s="13" t="s">
        <v>47</v>
      </c>
      <c r="B2" s="1">
        <v>84168</v>
      </c>
      <c r="C2" s="1">
        <v>71</v>
      </c>
      <c r="D2" s="4">
        <v>1185.4647887323943</v>
      </c>
      <c r="E2" s="4">
        <v>10.033333333333333</v>
      </c>
      <c r="F2" s="4">
        <v>118.15263675073697</v>
      </c>
    </row>
    <row r="3" spans="1:6" x14ac:dyDescent="0.3">
      <c r="A3" s="13" t="s">
        <v>48</v>
      </c>
      <c r="B3" s="1">
        <v>65006</v>
      </c>
      <c r="C3" s="1">
        <v>76</v>
      </c>
      <c r="D3" s="4">
        <v>855.34210526315792</v>
      </c>
      <c r="E3" s="4">
        <v>9</v>
      </c>
      <c r="F3" s="4">
        <v>95.038011695906434</v>
      </c>
    </row>
    <row r="4" spans="1:6" x14ac:dyDescent="0.3">
      <c r="A4" s="13" t="s">
        <v>49</v>
      </c>
      <c r="B4" s="1">
        <v>86312</v>
      </c>
      <c r="C4" s="1">
        <v>82</v>
      </c>
      <c r="D4" s="4">
        <v>1052.5853658536585</v>
      </c>
      <c r="E4" s="4">
        <v>7.9666666666666668</v>
      </c>
      <c r="F4" s="4">
        <v>132.12368609041738</v>
      </c>
    </row>
    <row r="5" spans="1:6" x14ac:dyDescent="0.3">
      <c r="A5" s="13" t="s">
        <v>50</v>
      </c>
      <c r="B5" s="1">
        <v>80844</v>
      </c>
      <c r="C5" s="1">
        <v>87</v>
      </c>
      <c r="D5" s="4">
        <v>929.24137931034488</v>
      </c>
      <c r="E5" s="4">
        <v>6.9666666666666668</v>
      </c>
      <c r="F5" s="4">
        <v>133.3839300445471</v>
      </c>
    </row>
    <row r="6" spans="1:6" x14ac:dyDescent="0.3">
      <c r="A6" s="13" t="s">
        <v>51</v>
      </c>
      <c r="B6" s="1">
        <v>80719</v>
      </c>
      <c r="C6" s="1">
        <v>77</v>
      </c>
      <c r="D6" s="4">
        <v>1048.2987012987012</v>
      </c>
      <c r="E6" s="4">
        <v>5.9333333333333336</v>
      </c>
      <c r="F6" s="4">
        <v>176.6795563986575</v>
      </c>
    </row>
    <row r="7" spans="1:6" x14ac:dyDescent="0.3">
      <c r="A7" s="13" t="s">
        <v>52</v>
      </c>
      <c r="B7" s="1">
        <v>82357</v>
      </c>
      <c r="C7" s="1">
        <v>83</v>
      </c>
      <c r="D7" s="4">
        <v>992.25301204819277</v>
      </c>
      <c r="E7" s="4">
        <v>4.9333333333333336</v>
      </c>
      <c r="F7" s="4">
        <v>201.13236730706609</v>
      </c>
    </row>
    <row r="8" spans="1:6" x14ac:dyDescent="0.3">
      <c r="A8" s="13" t="s">
        <v>53</v>
      </c>
      <c r="B8" s="1">
        <v>129700</v>
      </c>
      <c r="C8" s="1">
        <v>127</v>
      </c>
      <c r="D8" s="4">
        <v>1021.2598425196851</v>
      </c>
      <c r="E8" s="4">
        <v>3.9</v>
      </c>
      <c r="F8" s="4">
        <v>261.86149808197052</v>
      </c>
    </row>
    <row r="9" spans="1:6" x14ac:dyDescent="0.3">
      <c r="A9" s="13" t="s">
        <v>54</v>
      </c>
      <c r="B9" s="1">
        <v>143247</v>
      </c>
      <c r="C9" s="1">
        <v>124</v>
      </c>
      <c r="D9" s="4">
        <v>1155.2177419354839</v>
      </c>
      <c r="E9" s="4">
        <v>2.8666666666666667</v>
      </c>
      <c r="F9" s="4">
        <v>402.98293323330836</v>
      </c>
    </row>
    <row r="10" spans="1:6" x14ac:dyDescent="0.3">
      <c r="A10" s="13" t="s">
        <v>55</v>
      </c>
      <c r="B10" s="1">
        <v>224011</v>
      </c>
      <c r="C10" s="1">
        <v>206</v>
      </c>
      <c r="D10" s="4">
        <v>1087.4320388349515</v>
      </c>
      <c r="E10" s="4">
        <v>1.9333333333333333</v>
      </c>
      <c r="F10" s="4">
        <v>562.4648476732508</v>
      </c>
    </row>
    <row r="11" spans="1:6" x14ac:dyDescent="0.3">
      <c r="A11" s="13"/>
    </row>
    <row r="26" spans="1:1" x14ac:dyDescent="0.3">
      <c r="A26" s="1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4375-7E12-4DC8-900C-86586DA20934}">
  <dimension ref="A1:B11"/>
  <sheetViews>
    <sheetView workbookViewId="0">
      <selection activeCell="J23" sqref="J23"/>
    </sheetView>
  </sheetViews>
  <sheetFormatPr defaultRowHeight="14.4" x14ac:dyDescent="0.3"/>
  <cols>
    <col min="1" max="1" width="14.21875" style="3" bestFit="1" customWidth="1"/>
    <col min="2" max="2" width="10.88671875" style="1" bestFit="1" customWidth="1"/>
    <col min="3" max="16384" width="8.88671875" style="2"/>
  </cols>
  <sheetData>
    <row r="1" spans="1:2" x14ac:dyDescent="0.3">
      <c r="A1" s="3" t="s">
        <v>61</v>
      </c>
      <c r="B1" s="1" t="s">
        <v>62</v>
      </c>
    </row>
    <row r="2" spans="1:2" x14ac:dyDescent="0.3">
      <c r="A2" s="13" t="s">
        <v>47</v>
      </c>
      <c r="B2" s="1">
        <v>77</v>
      </c>
    </row>
    <row r="3" spans="1:2" x14ac:dyDescent="0.3">
      <c r="A3" s="13" t="s">
        <v>48</v>
      </c>
      <c r="B3" s="1">
        <v>148</v>
      </c>
    </row>
    <row r="4" spans="1:2" x14ac:dyDescent="0.3">
      <c r="A4" s="13" t="s">
        <v>49</v>
      </c>
      <c r="B4" s="1">
        <v>142</v>
      </c>
    </row>
    <row r="5" spans="1:2" x14ac:dyDescent="0.3">
      <c r="A5" s="13" t="s">
        <v>50</v>
      </c>
      <c r="B5" s="1">
        <v>133</v>
      </c>
    </row>
    <row r="6" spans="1:2" x14ac:dyDescent="0.3">
      <c r="A6" s="13" t="s">
        <v>51</v>
      </c>
      <c r="B6" s="1">
        <v>158</v>
      </c>
    </row>
    <row r="7" spans="1:2" x14ac:dyDescent="0.3">
      <c r="A7" s="13" t="s">
        <v>52</v>
      </c>
      <c r="B7" s="1">
        <v>154</v>
      </c>
    </row>
    <row r="8" spans="1:2" x14ac:dyDescent="0.3">
      <c r="A8" s="13" t="s">
        <v>53</v>
      </c>
      <c r="B8" s="1">
        <v>213</v>
      </c>
    </row>
    <row r="9" spans="1:2" x14ac:dyDescent="0.3">
      <c r="A9" s="13" t="s">
        <v>54</v>
      </c>
      <c r="B9" s="1">
        <v>250</v>
      </c>
    </row>
    <row r="10" spans="1:2" x14ac:dyDescent="0.3">
      <c r="A10" s="13" t="s">
        <v>55</v>
      </c>
      <c r="B10" s="1">
        <v>532</v>
      </c>
    </row>
    <row r="11" spans="1:2" x14ac:dyDescent="0.3">
      <c r="A11" s="13" t="s">
        <v>56</v>
      </c>
      <c r="B11" s="1">
        <v>341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2D6F-AD54-4D31-B8A6-ED01BA17B102}">
  <dimension ref="A1:B11"/>
  <sheetViews>
    <sheetView workbookViewId="0">
      <selection activeCell="L23" sqref="L23"/>
    </sheetView>
  </sheetViews>
  <sheetFormatPr defaultRowHeight="14.4" x14ac:dyDescent="0.3"/>
  <cols>
    <col min="1" max="1" width="13.21875" style="3" customWidth="1"/>
    <col min="2" max="2" width="10.88671875" style="1" bestFit="1" customWidth="1"/>
    <col min="3" max="16384" width="8.88671875" style="2"/>
  </cols>
  <sheetData>
    <row r="1" spans="1:2" x14ac:dyDescent="0.3">
      <c r="A1" s="3" t="s">
        <v>63</v>
      </c>
      <c r="B1" s="1" t="s">
        <v>62</v>
      </c>
    </row>
    <row r="2" spans="1:2" x14ac:dyDescent="0.3">
      <c r="A2" s="13" t="s">
        <v>47</v>
      </c>
      <c r="B2" s="1">
        <v>19</v>
      </c>
    </row>
    <row r="3" spans="1:2" x14ac:dyDescent="0.3">
      <c r="A3" s="13" t="s">
        <v>48</v>
      </c>
      <c r="B3" s="1">
        <v>32</v>
      </c>
    </row>
    <row r="4" spans="1:2" x14ac:dyDescent="0.3">
      <c r="A4" s="13" t="s">
        <v>49</v>
      </c>
      <c r="B4" s="1">
        <v>29</v>
      </c>
    </row>
    <row r="5" spans="1:2" x14ac:dyDescent="0.3">
      <c r="A5" s="13" t="s">
        <v>50</v>
      </c>
      <c r="B5" s="1">
        <v>35</v>
      </c>
    </row>
    <row r="6" spans="1:2" x14ac:dyDescent="0.3">
      <c r="A6" s="13" t="s">
        <v>51</v>
      </c>
      <c r="B6" s="1">
        <v>38</v>
      </c>
    </row>
    <row r="7" spans="1:2" x14ac:dyDescent="0.3">
      <c r="A7" s="13" t="s">
        <v>52</v>
      </c>
      <c r="B7" s="1">
        <v>38</v>
      </c>
    </row>
    <row r="8" spans="1:2" x14ac:dyDescent="0.3">
      <c r="A8" s="13" t="s">
        <v>53</v>
      </c>
      <c r="B8" s="1">
        <v>64</v>
      </c>
    </row>
    <row r="9" spans="1:2" x14ac:dyDescent="0.3">
      <c r="A9" s="13" t="s">
        <v>54</v>
      </c>
      <c r="B9" s="1">
        <v>90</v>
      </c>
    </row>
    <row r="10" spans="1:2" x14ac:dyDescent="0.3">
      <c r="A10" s="13" t="s">
        <v>55</v>
      </c>
      <c r="B10" s="1">
        <v>184</v>
      </c>
    </row>
    <row r="11" spans="1:2" x14ac:dyDescent="0.3">
      <c r="A11" s="13" t="s">
        <v>56</v>
      </c>
      <c r="B11" s="1">
        <v>130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9931-61ED-4672-87C3-D270C2BA4570}">
  <dimension ref="A1:B11"/>
  <sheetViews>
    <sheetView workbookViewId="0">
      <selection activeCell="L27" sqref="L27"/>
    </sheetView>
  </sheetViews>
  <sheetFormatPr defaultRowHeight="14.4" x14ac:dyDescent="0.3"/>
  <cols>
    <col min="1" max="1" width="14.21875" style="1" bestFit="1" customWidth="1"/>
    <col min="2" max="2" width="10.88671875" style="1" bestFit="1" customWidth="1"/>
    <col min="3" max="16384" width="8.88671875" style="2"/>
  </cols>
  <sheetData>
    <row r="1" spans="1:2" x14ac:dyDescent="0.3">
      <c r="A1" s="3" t="s">
        <v>61</v>
      </c>
      <c r="B1" s="1" t="s">
        <v>62</v>
      </c>
    </row>
    <row r="2" spans="1:2" x14ac:dyDescent="0.3">
      <c r="A2" s="13" t="s">
        <v>47</v>
      </c>
      <c r="B2" s="1">
        <v>5</v>
      </c>
    </row>
    <row r="3" spans="1:2" x14ac:dyDescent="0.3">
      <c r="A3" s="13" t="s">
        <v>48</v>
      </c>
      <c r="B3" s="1">
        <v>10</v>
      </c>
    </row>
    <row r="4" spans="1:2" x14ac:dyDescent="0.3">
      <c r="A4" s="13" t="s">
        <v>49</v>
      </c>
      <c r="B4" s="1">
        <v>10</v>
      </c>
    </row>
    <row r="5" spans="1:2" x14ac:dyDescent="0.3">
      <c r="A5" s="13" t="s">
        <v>50</v>
      </c>
      <c r="B5" s="1">
        <v>12</v>
      </c>
    </row>
    <row r="6" spans="1:2" x14ac:dyDescent="0.3">
      <c r="A6" s="13" t="s">
        <v>51</v>
      </c>
      <c r="B6" s="1">
        <v>17</v>
      </c>
    </row>
    <row r="7" spans="1:2" x14ac:dyDescent="0.3">
      <c r="A7" s="13" t="s">
        <v>52</v>
      </c>
      <c r="B7" s="1">
        <v>16</v>
      </c>
    </row>
    <row r="8" spans="1:2" x14ac:dyDescent="0.3">
      <c r="A8" s="13" t="s">
        <v>53</v>
      </c>
      <c r="B8" s="1">
        <v>22</v>
      </c>
    </row>
    <row r="9" spans="1:2" x14ac:dyDescent="0.3">
      <c r="A9" s="13" t="s">
        <v>54</v>
      </c>
      <c r="B9" s="1">
        <v>29</v>
      </c>
    </row>
    <row r="10" spans="1:2" x14ac:dyDescent="0.3">
      <c r="A10" s="13" t="s">
        <v>55</v>
      </c>
      <c r="B10" s="1">
        <v>61</v>
      </c>
    </row>
    <row r="11" spans="1:2" x14ac:dyDescent="0.3">
      <c r="A11" s="13" t="s">
        <v>56</v>
      </c>
      <c r="B11" s="1">
        <v>42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3378-13C7-4141-87D8-530C71D63232}">
  <dimension ref="A1:B11"/>
  <sheetViews>
    <sheetView workbookViewId="0">
      <selection activeCell="M24" sqref="M24"/>
    </sheetView>
  </sheetViews>
  <sheetFormatPr defaultRowHeight="14.4" x14ac:dyDescent="0.3"/>
  <cols>
    <col min="1" max="1" width="14.21875" style="1" bestFit="1" customWidth="1"/>
    <col min="2" max="2" width="10.88671875" style="1" bestFit="1" customWidth="1"/>
    <col min="3" max="16384" width="8.88671875" style="2"/>
  </cols>
  <sheetData>
    <row r="1" spans="1:2" x14ac:dyDescent="0.3">
      <c r="A1" s="3" t="s">
        <v>61</v>
      </c>
      <c r="B1" s="1" t="s">
        <v>62</v>
      </c>
    </row>
    <row r="2" spans="1:2" x14ac:dyDescent="0.3">
      <c r="A2" s="13" t="s">
        <v>47</v>
      </c>
      <c r="B2" s="1">
        <v>91</v>
      </c>
    </row>
    <row r="3" spans="1:2" x14ac:dyDescent="0.3">
      <c r="A3" s="13" t="s">
        <v>48</v>
      </c>
      <c r="B3" s="1">
        <v>170</v>
      </c>
    </row>
    <row r="4" spans="1:2" x14ac:dyDescent="0.3">
      <c r="A4" s="13" t="s">
        <v>49</v>
      </c>
      <c r="B4" s="1">
        <v>161</v>
      </c>
    </row>
    <row r="5" spans="1:2" x14ac:dyDescent="0.3">
      <c r="A5" s="13" t="s">
        <v>50</v>
      </c>
      <c r="B5" s="1">
        <v>156</v>
      </c>
    </row>
    <row r="6" spans="1:2" x14ac:dyDescent="0.3">
      <c r="A6" s="13" t="s">
        <v>51</v>
      </c>
      <c r="B6" s="1">
        <v>179</v>
      </c>
    </row>
    <row r="7" spans="1:2" x14ac:dyDescent="0.3">
      <c r="A7" s="13" t="s">
        <v>52</v>
      </c>
      <c r="B7" s="1">
        <v>176</v>
      </c>
    </row>
    <row r="8" spans="1:2" x14ac:dyDescent="0.3">
      <c r="A8" s="13" t="s">
        <v>53</v>
      </c>
      <c r="B8" s="1">
        <v>255</v>
      </c>
    </row>
    <row r="9" spans="1:2" x14ac:dyDescent="0.3">
      <c r="A9" s="13" t="s">
        <v>54</v>
      </c>
      <c r="B9" s="1">
        <v>311</v>
      </c>
    </row>
    <row r="10" spans="1:2" x14ac:dyDescent="0.3">
      <c r="A10" s="13" t="s">
        <v>55</v>
      </c>
      <c r="B10" s="1">
        <v>655</v>
      </c>
    </row>
    <row r="11" spans="1:2" x14ac:dyDescent="0.3">
      <c r="A11" s="13" t="s">
        <v>56</v>
      </c>
      <c r="B11" s="1">
        <v>429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8CBD-A2C2-4ECA-B630-F4B8DDF720AC}">
  <dimension ref="A1:C101"/>
  <sheetViews>
    <sheetView tabSelected="1" workbookViewId="0">
      <selection activeCell="N23" sqref="N23"/>
    </sheetView>
  </sheetViews>
  <sheetFormatPr defaultRowHeight="14.4" x14ac:dyDescent="0.3"/>
  <cols>
    <col min="1" max="1" width="8.88671875" style="1"/>
    <col min="2" max="2" width="8.77734375" style="1" customWidth="1"/>
    <col min="3" max="3" width="8.88671875" style="1"/>
    <col min="4" max="16384" width="8.88671875" style="2"/>
  </cols>
  <sheetData>
    <row r="1" spans="1:3" x14ac:dyDescent="0.3">
      <c r="A1" s="1" t="s">
        <v>64</v>
      </c>
      <c r="B1" s="1" t="s">
        <v>65</v>
      </c>
      <c r="C1" s="1" t="s">
        <v>66</v>
      </c>
    </row>
    <row r="2" spans="1:3" x14ac:dyDescent="0.3">
      <c r="A2" s="1">
        <v>2901537</v>
      </c>
      <c r="B2" s="1">
        <v>5600</v>
      </c>
      <c r="C2" s="1">
        <v>1</v>
      </c>
    </row>
    <row r="3" spans="1:3" x14ac:dyDescent="0.3">
      <c r="A3" s="1">
        <v>2902643</v>
      </c>
      <c r="B3" s="1">
        <v>5000</v>
      </c>
      <c r="C3" s="1">
        <v>1</v>
      </c>
    </row>
    <row r="4" spans="1:3" x14ac:dyDescent="0.3">
      <c r="A4" s="1">
        <v>2902123</v>
      </c>
      <c r="B4" s="1">
        <v>5000</v>
      </c>
      <c r="C4" s="1">
        <v>1</v>
      </c>
    </row>
    <row r="5" spans="1:3" x14ac:dyDescent="0.3">
      <c r="A5" s="1">
        <v>2903744</v>
      </c>
      <c r="B5" s="1">
        <v>4800</v>
      </c>
      <c r="C5" s="1">
        <v>1</v>
      </c>
    </row>
    <row r="6" spans="1:3" x14ac:dyDescent="0.3">
      <c r="A6" s="1">
        <v>2902735</v>
      </c>
      <c r="B6" s="1">
        <v>4200</v>
      </c>
      <c r="C6" s="1">
        <v>1</v>
      </c>
    </row>
    <row r="7" spans="1:3" x14ac:dyDescent="0.3">
      <c r="A7" s="1">
        <v>2902639</v>
      </c>
      <c r="B7" s="1">
        <v>4200</v>
      </c>
      <c r="C7" s="1">
        <v>1</v>
      </c>
    </row>
    <row r="8" spans="1:3" x14ac:dyDescent="0.3">
      <c r="A8" s="1">
        <v>2901829</v>
      </c>
      <c r="B8" s="1">
        <v>4000</v>
      </c>
      <c r="C8" s="1">
        <v>1</v>
      </c>
    </row>
    <row r="9" spans="1:3" x14ac:dyDescent="0.3">
      <c r="A9" s="1">
        <v>2903371</v>
      </c>
      <c r="B9" s="1">
        <v>4000</v>
      </c>
      <c r="C9" s="1">
        <v>1</v>
      </c>
    </row>
    <row r="10" spans="1:3" x14ac:dyDescent="0.3">
      <c r="A10" s="1">
        <v>2903432</v>
      </c>
      <c r="B10" s="1">
        <v>4000</v>
      </c>
      <c r="C10" s="1">
        <v>1</v>
      </c>
    </row>
    <row r="11" spans="1:3" x14ac:dyDescent="0.3">
      <c r="A11" s="1">
        <v>2901445</v>
      </c>
      <c r="B11" s="1">
        <v>4000</v>
      </c>
      <c r="C11" s="1">
        <v>1</v>
      </c>
    </row>
    <row r="12" spans="1:3" x14ac:dyDescent="0.3">
      <c r="A12" s="1">
        <v>2902041</v>
      </c>
      <c r="B12" s="1">
        <v>4000</v>
      </c>
      <c r="C12" s="1">
        <v>1</v>
      </c>
    </row>
    <row r="13" spans="1:3" x14ac:dyDescent="0.3">
      <c r="A13" s="1">
        <v>2901335</v>
      </c>
      <c r="B13" s="1">
        <v>3200</v>
      </c>
      <c r="C13" s="1">
        <v>1</v>
      </c>
    </row>
    <row r="14" spans="1:3" x14ac:dyDescent="0.3">
      <c r="A14" s="1">
        <v>2903925</v>
      </c>
      <c r="B14" s="1">
        <v>3200</v>
      </c>
      <c r="C14" s="1">
        <v>1</v>
      </c>
    </row>
    <row r="15" spans="1:3" x14ac:dyDescent="0.3">
      <c r="A15" s="1">
        <v>2901681</v>
      </c>
      <c r="B15" s="1">
        <v>3000</v>
      </c>
      <c r="C15" s="1">
        <v>1</v>
      </c>
    </row>
    <row r="16" spans="1:3" x14ac:dyDescent="0.3">
      <c r="A16" s="1">
        <v>2904079</v>
      </c>
      <c r="B16" s="1">
        <v>3000</v>
      </c>
      <c r="C16" s="1">
        <v>1</v>
      </c>
    </row>
    <row r="17" spans="1:3" x14ac:dyDescent="0.3">
      <c r="A17" s="1">
        <v>2903618</v>
      </c>
      <c r="B17" s="1">
        <v>3000</v>
      </c>
      <c r="C17" s="1">
        <v>1</v>
      </c>
    </row>
    <row r="18" spans="1:3" x14ac:dyDescent="0.3">
      <c r="A18" s="1">
        <v>2902459</v>
      </c>
      <c r="B18" s="1">
        <v>3000</v>
      </c>
      <c r="C18" s="1">
        <v>1</v>
      </c>
    </row>
    <row r="19" spans="1:3" x14ac:dyDescent="0.3">
      <c r="A19" s="1">
        <v>2903898</v>
      </c>
      <c r="B19" s="1">
        <v>2800</v>
      </c>
      <c r="C19" s="1">
        <v>2</v>
      </c>
    </row>
    <row r="20" spans="1:3" x14ac:dyDescent="0.3">
      <c r="A20" s="1">
        <v>2904013</v>
      </c>
      <c r="B20" s="1">
        <v>2800</v>
      </c>
      <c r="C20" s="1">
        <v>2</v>
      </c>
    </row>
    <row r="21" spans="1:3" x14ac:dyDescent="0.3">
      <c r="A21" s="1">
        <v>2902538</v>
      </c>
      <c r="B21" s="1">
        <v>2800</v>
      </c>
      <c r="C21" s="1">
        <v>1</v>
      </c>
    </row>
    <row r="22" spans="1:3" x14ac:dyDescent="0.3">
      <c r="A22" s="1">
        <v>2901252</v>
      </c>
      <c r="B22" s="1">
        <v>2800</v>
      </c>
      <c r="C22" s="1">
        <v>1</v>
      </c>
    </row>
    <row r="23" spans="1:3" x14ac:dyDescent="0.3">
      <c r="A23" s="1">
        <v>2903310</v>
      </c>
      <c r="B23" s="1">
        <v>2800</v>
      </c>
      <c r="C23" s="1">
        <v>1</v>
      </c>
    </row>
    <row r="24" spans="1:3" x14ac:dyDescent="0.3">
      <c r="A24" s="1">
        <v>2901421</v>
      </c>
      <c r="B24" s="1">
        <v>2800</v>
      </c>
      <c r="C24" s="1">
        <v>2</v>
      </c>
    </row>
    <row r="25" spans="1:3" x14ac:dyDescent="0.3">
      <c r="A25" s="1">
        <v>2903317</v>
      </c>
      <c r="B25" s="1">
        <v>2800</v>
      </c>
      <c r="C25" s="1">
        <v>1</v>
      </c>
    </row>
    <row r="26" spans="1:3" x14ac:dyDescent="0.3">
      <c r="A26" s="1">
        <v>2904047</v>
      </c>
      <c r="B26" s="1">
        <v>2800</v>
      </c>
      <c r="C26" s="1">
        <v>1</v>
      </c>
    </row>
    <row r="27" spans="1:3" x14ac:dyDescent="0.3">
      <c r="A27" s="1">
        <v>2902131</v>
      </c>
      <c r="B27" s="1">
        <v>2800</v>
      </c>
      <c r="C27" s="1">
        <v>1</v>
      </c>
    </row>
    <row r="28" spans="1:3" x14ac:dyDescent="0.3">
      <c r="A28" s="1">
        <v>2903300</v>
      </c>
      <c r="B28" s="1">
        <v>2800</v>
      </c>
      <c r="C28" s="1">
        <v>1</v>
      </c>
    </row>
    <row r="29" spans="1:3" x14ac:dyDescent="0.3">
      <c r="A29" s="1">
        <v>2902995</v>
      </c>
      <c r="B29" s="1">
        <v>2800</v>
      </c>
      <c r="C29" s="1">
        <v>1</v>
      </c>
    </row>
    <row r="30" spans="1:3" x14ac:dyDescent="0.3">
      <c r="A30" s="1">
        <v>2904022</v>
      </c>
      <c r="B30" s="1">
        <v>2495</v>
      </c>
      <c r="C30" s="1">
        <v>1</v>
      </c>
    </row>
    <row r="31" spans="1:3" x14ac:dyDescent="0.3">
      <c r="A31" s="1">
        <v>2903100</v>
      </c>
      <c r="B31" s="1">
        <v>2495</v>
      </c>
      <c r="C31" s="1">
        <v>1</v>
      </c>
    </row>
    <row r="32" spans="1:3" x14ac:dyDescent="0.3">
      <c r="A32" s="1">
        <v>2902221</v>
      </c>
      <c r="B32" s="1">
        <v>2400</v>
      </c>
      <c r="C32" s="1">
        <v>1</v>
      </c>
    </row>
    <row r="33" spans="1:3" x14ac:dyDescent="0.3">
      <c r="A33" s="1">
        <v>2903218</v>
      </c>
      <c r="B33" s="1">
        <v>2400</v>
      </c>
      <c r="C33" s="1">
        <v>1</v>
      </c>
    </row>
    <row r="34" spans="1:3" x14ac:dyDescent="0.3">
      <c r="A34" s="1">
        <v>2901530</v>
      </c>
      <c r="B34" s="1">
        <v>2400</v>
      </c>
      <c r="C34" s="1">
        <v>1</v>
      </c>
    </row>
    <row r="35" spans="1:3" x14ac:dyDescent="0.3">
      <c r="A35" s="1">
        <v>2903552</v>
      </c>
      <c r="B35" s="1">
        <v>2400</v>
      </c>
      <c r="C35" s="1">
        <v>1</v>
      </c>
    </row>
    <row r="36" spans="1:3" x14ac:dyDescent="0.3">
      <c r="A36" s="1">
        <v>2901164</v>
      </c>
      <c r="B36" s="1">
        <v>2400</v>
      </c>
      <c r="C36" s="1">
        <v>1</v>
      </c>
    </row>
    <row r="37" spans="1:3" x14ac:dyDescent="0.3">
      <c r="A37" s="1">
        <v>2903047</v>
      </c>
      <c r="B37" s="1">
        <v>2100</v>
      </c>
      <c r="C37" s="1">
        <v>2</v>
      </c>
    </row>
    <row r="38" spans="1:3" x14ac:dyDescent="0.3">
      <c r="A38" s="1">
        <v>2903097</v>
      </c>
      <c r="B38" s="1">
        <v>2100</v>
      </c>
      <c r="C38" s="1">
        <v>1</v>
      </c>
    </row>
    <row r="39" spans="1:3" x14ac:dyDescent="0.3">
      <c r="A39" s="1">
        <v>2901032</v>
      </c>
      <c r="B39" s="1">
        <v>2100</v>
      </c>
      <c r="C39" s="1">
        <v>2</v>
      </c>
    </row>
    <row r="40" spans="1:3" x14ac:dyDescent="0.3">
      <c r="A40" s="1">
        <v>2902542</v>
      </c>
      <c r="B40" s="1">
        <v>2100</v>
      </c>
      <c r="C40" s="1">
        <v>2</v>
      </c>
    </row>
    <row r="41" spans="1:3" x14ac:dyDescent="0.3">
      <c r="A41" s="1">
        <v>2903083</v>
      </c>
      <c r="B41" s="1">
        <v>2000</v>
      </c>
      <c r="C41" s="1">
        <v>1</v>
      </c>
    </row>
    <row r="42" spans="1:3" x14ac:dyDescent="0.3">
      <c r="A42" s="1">
        <v>2901730</v>
      </c>
      <c r="B42" s="1">
        <v>2000</v>
      </c>
      <c r="C42" s="1">
        <v>1</v>
      </c>
    </row>
    <row r="43" spans="1:3" x14ac:dyDescent="0.3">
      <c r="A43" s="1">
        <v>2904008</v>
      </c>
      <c r="B43" s="1">
        <v>2000</v>
      </c>
      <c r="C43" s="1">
        <v>1</v>
      </c>
    </row>
    <row r="44" spans="1:3" x14ac:dyDescent="0.3">
      <c r="A44" s="1">
        <v>2902797</v>
      </c>
      <c r="B44" s="1">
        <v>2000</v>
      </c>
      <c r="C44" s="1">
        <v>1</v>
      </c>
    </row>
    <row r="45" spans="1:3" x14ac:dyDescent="0.3">
      <c r="A45" s="1">
        <v>2903271</v>
      </c>
      <c r="B45" s="1">
        <v>2000</v>
      </c>
      <c r="C45" s="1">
        <v>1</v>
      </c>
    </row>
    <row r="46" spans="1:3" x14ac:dyDescent="0.3">
      <c r="A46" s="1">
        <v>2902190</v>
      </c>
      <c r="B46" s="1">
        <v>2000</v>
      </c>
      <c r="C46" s="1">
        <v>1</v>
      </c>
    </row>
    <row r="47" spans="1:3" x14ac:dyDescent="0.3">
      <c r="A47" s="1">
        <v>2902481</v>
      </c>
      <c r="B47" s="1">
        <v>2000</v>
      </c>
      <c r="C47" s="1">
        <v>2</v>
      </c>
    </row>
    <row r="48" spans="1:3" x14ac:dyDescent="0.3">
      <c r="A48" s="1">
        <v>2902455</v>
      </c>
      <c r="B48" s="1">
        <v>2000</v>
      </c>
      <c r="C48" s="1">
        <v>1</v>
      </c>
    </row>
    <row r="49" spans="1:3" x14ac:dyDescent="0.3">
      <c r="A49" s="1">
        <v>2903559</v>
      </c>
      <c r="B49" s="1">
        <v>2000</v>
      </c>
      <c r="C49" s="1">
        <v>1</v>
      </c>
    </row>
    <row r="50" spans="1:3" x14ac:dyDescent="0.3">
      <c r="A50" s="1">
        <v>2901676</v>
      </c>
      <c r="B50" s="1">
        <v>2000</v>
      </c>
      <c r="C50" s="1">
        <v>1</v>
      </c>
    </row>
    <row r="51" spans="1:3" x14ac:dyDescent="0.3">
      <c r="A51" s="1">
        <v>2902331</v>
      </c>
      <c r="B51" s="1">
        <v>2000</v>
      </c>
      <c r="C51" s="1">
        <v>2</v>
      </c>
    </row>
    <row r="52" spans="1:3" x14ac:dyDescent="0.3">
      <c r="A52" s="1">
        <v>2902887</v>
      </c>
      <c r="B52" s="1">
        <v>2000</v>
      </c>
      <c r="C52" s="1">
        <v>1</v>
      </c>
    </row>
    <row r="53" spans="1:3" x14ac:dyDescent="0.3">
      <c r="A53" s="1">
        <v>2902073</v>
      </c>
      <c r="B53" s="1">
        <v>2000</v>
      </c>
      <c r="C53" s="1">
        <v>1</v>
      </c>
    </row>
    <row r="54" spans="1:3" x14ac:dyDescent="0.3">
      <c r="A54" s="1">
        <v>2901881</v>
      </c>
      <c r="B54" s="1">
        <v>2000</v>
      </c>
      <c r="C54" s="1">
        <v>2</v>
      </c>
    </row>
    <row r="55" spans="1:3" x14ac:dyDescent="0.3">
      <c r="A55" s="1">
        <v>2902888</v>
      </c>
      <c r="B55" s="1">
        <v>2000</v>
      </c>
      <c r="C55" s="1">
        <v>1</v>
      </c>
    </row>
    <row r="56" spans="1:3" x14ac:dyDescent="0.3">
      <c r="A56" s="1">
        <v>2902600</v>
      </c>
      <c r="B56" s="1">
        <v>2000</v>
      </c>
      <c r="C56" s="1">
        <v>1</v>
      </c>
    </row>
    <row r="57" spans="1:3" x14ac:dyDescent="0.3">
      <c r="A57" s="1">
        <v>2901364</v>
      </c>
      <c r="B57" s="1">
        <v>2000</v>
      </c>
      <c r="C57" s="1">
        <v>1</v>
      </c>
    </row>
    <row r="58" spans="1:3" x14ac:dyDescent="0.3">
      <c r="A58" s="1">
        <v>2902436</v>
      </c>
      <c r="B58" s="1">
        <v>2000</v>
      </c>
      <c r="C58" s="1">
        <v>1</v>
      </c>
    </row>
    <row r="59" spans="1:3" x14ac:dyDescent="0.3">
      <c r="A59" s="1">
        <v>2901991</v>
      </c>
      <c r="B59" s="1">
        <v>2000</v>
      </c>
      <c r="C59" s="1">
        <v>1</v>
      </c>
    </row>
    <row r="60" spans="1:3" x14ac:dyDescent="0.3">
      <c r="A60" s="1">
        <v>2901222</v>
      </c>
      <c r="B60" s="1">
        <v>1996</v>
      </c>
      <c r="C60" s="1">
        <v>1</v>
      </c>
    </row>
    <row r="61" spans="1:3" x14ac:dyDescent="0.3">
      <c r="A61" s="1">
        <v>2903384</v>
      </c>
      <c r="B61" s="1">
        <v>1866.6666666666667</v>
      </c>
      <c r="C61" s="1">
        <v>3</v>
      </c>
    </row>
    <row r="62" spans="1:3" x14ac:dyDescent="0.3">
      <c r="A62" s="1">
        <v>2902965</v>
      </c>
      <c r="B62" s="1">
        <v>1800</v>
      </c>
      <c r="C62" s="1">
        <v>1</v>
      </c>
    </row>
    <row r="63" spans="1:3" x14ac:dyDescent="0.3">
      <c r="A63" s="1">
        <v>2902509</v>
      </c>
      <c r="B63" s="1">
        <v>1600</v>
      </c>
      <c r="C63" s="1">
        <v>1</v>
      </c>
    </row>
    <row r="64" spans="1:3" x14ac:dyDescent="0.3">
      <c r="A64" s="1">
        <v>2902977</v>
      </c>
      <c r="B64" s="1">
        <v>1600</v>
      </c>
      <c r="C64" s="1">
        <v>1</v>
      </c>
    </row>
    <row r="65" spans="1:3" x14ac:dyDescent="0.3">
      <c r="A65" s="1">
        <v>2901173</v>
      </c>
      <c r="B65" s="1">
        <v>1600</v>
      </c>
      <c r="C65" s="1">
        <v>1</v>
      </c>
    </row>
    <row r="66" spans="1:3" x14ac:dyDescent="0.3">
      <c r="A66" s="1">
        <v>2902568</v>
      </c>
      <c r="B66" s="1">
        <v>1600</v>
      </c>
      <c r="C66" s="1">
        <v>1</v>
      </c>
    </row>
    <row r="67" spans="1:3" x14ac:dyDescent="0.3">
      <c r="A67" s="1">
        <v>2901133</v>
      </c>
      <c r="B67" s="1">
        <v>1600</v>
      </c>
      <c r="C67" s="1">
        <v>1</v>
      </c>
    </row>
    <row r="68" spans="1:3" x14ac:dyDescent="0.3">
      <c r="A68" s="1">
        <v>2903248</v>
      </c>
      <c r="B68" s="1">
        <v>1600</v>
      </c>
      <c r="C68" s="1">
        <v>1</v>
      </c>
    </row>
    <row r="69" spans="1:3" x14ac:dyDescent="0.3">
      <c r="A69" s="1">
        <v>2903751</v>
      </c>
      <c r="B69" s="1">
        <v>1600</v>
      </c>
      <c r="C69" s="1">
        <v>1</v>
      </c>
    </row>
    <row r="70" spans="1:3" x14ac:dyDescent="0.3">
      <c r="A70" s="1">
        <v>2903653</v>
      </c>
      <c r="B70" s="1">
        <v>1600</v>
      </c>
      <c r="C70" s="1">
        <v>1</v>
      </c>
    </row>
    <row r="71" spans="1:3" x14ac:dyDescent="0.3">
      <c r="A71" s="1">
        <v>2901923</v>
      </c>
      <c r="B71" s="1">
        <v>1600</v>
      </c>
      <c r="C71" s="1">
        <v>1</v>
      </c>
    </row>
    <row r="72" spans="1:3" x14ac:dyDescent="0.3">
      <c r="A72" s="1">
        <v>2903692</v>
      </c>
      <c r="B72" s="1">
        <v>1600</v>
      </c>
      <c r="C72" s="1">
        <v>2</v>
      </c>
    </row>
    <row r="73" spans="1:3" x14ac:dyDescent="0.3">
      <c r="A73" s="1">
        <v>2903442</v>
      </c>
      <c r="B73" s="1">
        <v>1600</v>
      </c>
      <c r="C73" s="1">
        <v>1</v>
      </c>
    </row>
    <row r="74" spans="1:3" x14ac:dyDescent="0.3">
      <c r="A74" s="1">
        <v>2901186</v>
      </c>
      <c r="B74" s="1">
        <v>1600</v>
      </c>
      <c r="C74" s="1">
        <v>2</v>
      </c>
    </row>
    <row r="75" spans="1:3" x14ac:dyDescent="0.3">
      <c r="A75" s="1">
        <v>2903458</v>
      </c>
      <c r="B75" s="1">
        <v>1600</v>
      </c>
      <c r="C75" s="1">
        <v>1</v>
      </c>
    </row>
    <row r="76" spans="1:3" x14ac:dyDescent="0.3">
      <c r="A76" s="1">
        <v>2903204</v>
      </c>
      <c r="B76" s="1">
        <v>1500</v>
      </c>
      <c r="C76" s="1">
        <v>2</v>
      </c>
    </row>
    <row r="77" spans="1:3" x14ac:dyDescent="0.3">
      <c r="A77" s="1">
        <v>2901686</v>
      </c>
      <c r="B77" s="1">
        <v>1500</v>
      </c>
      <c r="C77" s="1">
        <v>2</v>
      </c>
    </row>
    <row r="78" spans="1:3" x14ac:dyDescent="0.3">
      <c r="A78" s="1">
        <v>2901066</v>
      </c>
      <c r="B78" s="1">
        <v>1500</v>
      </c>
      <c r="C78" s="1">
        <v>2</v>
      </c>
    </row>
    <row r="79" spans="1:3" x14ac:dyDescent="0.3">
      <c r="A79" s="1">
        <v>2901556</v>
      </c>
      <c r="B79" s="1">
        <v>1500</v>
      </c>
      <c r="C79" s="1">
        <v>2</v>
      </c>
    </row>
    <row r="80" spans="1:3" x14ac:dyDescent="0.3">
      <c r="A80" s="1">
        <v>2902749</v>
      </c>
      <c r="B80" s="1">
        <v>1497</v>
      </c>
      <c r="C80" s="1">
        <v>1</v>
      </c>
    </row>
    <row r="81" spans="1:3" x14ac:dyDescent="0.3">
      <c r="A81" s="1">
        <v>2901645</v>
      </c>
      <c r="B81" s="1">
        <v>1497</v>
      </c>
      <c r="C81" s="1">
        <v>1</v>
      </c>
    </row>
    <row r="82" spans="1:3" x14ac:dyDescent="0.3">
      <c r="A82" s="1">
        <v>2903396</v>
      </c>
      <c r="B82" s="1">
        <v>1400</v>
      </c>
      <c r="C82" s="1">
        <v>1</v>
      </c>
    </row>
    <row r="83" spans="1:3" x14ac:dyDescent="0.3">
      <c r="A83" s="1">
        <v>2902627</v>
      </c>
      <c r="B83" s="1">
        <v>1400</v>
      </c>
      <c r="C83" s="1">
        <v>1</v>
      </c>
    </row>
    <row r="84" spans="1:3" x14ac:dyDescent="0.3">
      <c r="A84" s="1">
        <v>2903657</v>
      </c>
      <c r="B84" s="1">
        <v>1400</v>
      </c>
      <c r="C84" s="1">
        <v>2</v>
      </c>
    </row>
    <row r="85" spans="1:3" x14ac:dyDescent="0.3">
      <c r="A85" s="1">
        <v>2903162</v>
      </c>
      <c r="B85" s="1">
        <v>1400</v>
      </c>
      <c r="C85" s="1">
        <v>2</v>
      </c>
    </row>
    <row r="86" spans="1:3" x14ac:dyDescent="0.3">
      <c r="A86" s="1">
        <v>2902348</v>
      </c>
      <c r="B86" s="1">
        <v>1400</v>
      </c>
      <c r="C86" s="1">
        <v>2</v>
      </c>
    </row>
    <row r="87" spans="1:3" x14ac:dyDescent="0.3">
      <c r="A87" s="1">
        <v>2901073</v>
      </c>
      <c r="B87" s="1">
        <v>1400</v>
      </c>
      <c r="C87" s="1">
        <v>1</v>
      </c>
    </row>
    <row r="88" spans="1:3" x14ac:dyDescent="0.3">
      <c r="A88" s="1">
        <v>2903671</v>
      </c>
      <c r="B88" s="1">
        <v>1400</v>
      </c>
      <c r="C88" s="1">
        <v>3</v>
      </c>
    </row>
    <row r="89" spans="1:3" x14ac:dyDescent="0.3">
      <c r="A89" s="1">
        <v>2902420</v>
      </c>
      <c r="B89" s="1">
        <v>1400</v>
      </c>
      <c r="C89" s="1">
        <v>2</v>
      </c>
    </row>
    <row r="90" spans="1:3" x14ac:dyDescent="0.3">
      <c r="A90" s="1">
        <v>2903729</v>
      </c>
      <c r="B90" s="1">
        <v>1400</v>
      </c>
      <c r="C90" s="1">
        <v>2</v>
      </c>
    </row>
    <row r="91" spans="1:3" x14ac:dyDescent="0.3">
      <c r="A91" s="1">
        <v>2902897</v>
      </c>
      <c r="B91" s="1">
        <v>1400</v>
      </c>
      <c r="C91" s="1">
        <v>1</v>
      </c>
    </row>
    <row r="92" spans="1:3" x14ac:dyDescent="0.3">
      <c r="A92" s="1">
        <v>2902182</v>
      </c>
      <c r="B92" s="1">
        <v>1400</v>
      </c>
      <c r="C92" s="1">
        <v>1</v>
      </c>
    </row>
    <row r="93" spans="1:3" x14ac:dyDescent="0.3">
      <c r="A93" s="1">
        <v>2902120</v>
      </c>
      <c r="B93" s="1">
        <v>1400</v>
      </c>
      <c r="C93" s="1">
        <v>1</v>
      </c>
    </row>
    <row r="94" spans="1:3" x14ac:dyDescent="0.3">
      <c r="A94" s="1">
        <v>2903610</v>
      </c>
      <c r="B94" s="1">
        <v>1400</v>
      </c>
      <c r="C94" s="1">
        <v>1</v>
      </c>
    </row>
    <row r="95" spans="1:3" x14ac:dyDescent="0.3">
      <c r="A95" s="1">
        <v>2903919</v>
      </c>
      <c r="B95" s="1">
        <v>1400</v>
      </c>
      <c r="C95" s="1">
        <v>1</v>
      </c>
    </row>
    <row r="96" spans="1:3" x14ac:dyDescent="0.3">
      <c r="A96" s="1">
        <v>2903940</v>
      </c>
      <c r="B96" s="1">
        <v>1400</v>
      </c>
      <c r="C96" s="1">
        <v>1</v>
      </c>
    </row>
    <row r="97" spans="1:3" x14ac:dyDescent="0.3">
      <c r="A97" s="1">
        <v>2902705</v>
      </c>
      <c r="B97" s="1">
        <v>1400</v>
      </c>
      <c r="C97" s="1">
        <v>2</v>
      </c>
    </row>
    <row r="98" spans="1:3" x14ac:dyDescent="0.3">
      <c r="A98" s="1">
        <v>2902269</v>
      </c>
      <c r="B98" s="1">
        <v>1400</v>
      </c>
      <c r="C98" s="1">
        <v>1</v>
      </c>
    </row>
    <row r="99" spans="1:3" x14ac:dyDescent="0.3">
      <c r="A99" s="1">
        <v>2902620</v>
      </c>
      <c r="B99" s="1">
        <v>1400</v>
      </c>
      <c r="C99" s="1">
        <v>2</v>
      </c>
    </row>
    <row r="100" spans="1:3" x14ac:dyDescent="0.3">
      <c r="A100" s="1">
        <v>2901656</v>
      </c>
      <c r="B100" s="1">
        <v>1400</v>
      </c>
      <c r="C100" s="1">
        <v>1</v>
      </c>
    </row>
    <row r="101" spans="1:3" x14ac:dyDescent="0.3">
      <c r="A101" s="1">
        <v>2903332</v>
      </c>
      <c r="B101" s="1">
        <v>1400</v>
      </c>
      <c r="C101" s="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Слайд 2.1</vt:lpstr>
      <vt:lpstr>Слайд 2.2</vt:lpstr>
      <vt:lpstr>Слайд 4</vt:lpstr>
      <vt:lpstr>Слайд 5</vt:lpstr>
      <vt:lpstr>Слайд 6</vt:lpstr>
      <vt:lpstr>Слайд 7</vt:lpstr>
      <vt:lpstr>Слайд 10.1</vt:lpstr>
      <vt:lpstr>Слайд 10.2</vt:lpstr>
      <vt:lpstr>Слайд 11.1</vt:lpstr>
      <vt:lpstr>Слайд 11.2</vt:lpstr>
      <vt:lpstr>Слайд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</dc:creator>
  <cp:lastModifiedBy>Vera</cp:lastModifiedBy>
  <dcterms:created xsi:type="dcterms:W3CDTF">2026-07-25T16:26:44Z</dcterms:created>
  <dcterms:modified xsi:type="dcterms:W3CDTF">2026-07-25T16:41:53Z</dcterms:modified>
</cp:coreProperties>
</file>